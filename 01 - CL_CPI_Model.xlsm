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istobal\Desktop\TT!!\Code\"/>
    </mc:Choice>
  </mc:AlternateContent>
  <bookViews>
    <workbookView xWindow="0" yWindow="0" windowWidth="20490" windowHeight="7755"/>
  </bookViews>
  <sheets>
    <sheet name="Parámetros CPI Food" sheetId="1" r:id="rId1"/>
    <sheet name="Diccionario ODEPA - INE" sheetId="2" r:id="rId2"/>
    <sheet name="ODEPA - CPI Food" sheetId="3" r:id="rId3"/>
  </sheets>
  <calcPr calcId="152511"/>
</workbook>
</file>

<file path=xl/calcChain.xml><?xml version="1.0" encoding="utf-8"?>
<calcChain xmlns="http://schemas.openxmlformats.org/spreadsheetml/2006/main">
  <c r="EL125" i="3" l="1"/>
  <c r="EK125" i="3"/>
  <c r="EJ125" i="3"/>
  <c r="EI125" i="3"/>
  <c r="EH125" i="3"/>
  <c r="EG125" i="3"/>
  <c r="EF125" i="3"/>
  <c r="EE125" i="3"/>
  <c r="ED125" i="3"/>
  <c r="EC125" i="3"/>
  <c r="EB125" i="3"/>
  <c r="EA125" i="3"/>
  <c r="DZ125" i="3"/>
  <c r="DY125" i="3"/>
  <c r="DX125" i="3"/>
  <c r="DW125" i="3"/>
  <c r="DV125" i="3"/>
  <c r="DU125" i="3"/>
  <c r="DT125" i="3"/>
  <c r="DS125" i="3"/>
  <c r="DR125" i="3"/>
  <c r="DQ125" i="3"/>
  <c r="DP125" i="3"/>
  <c r="DO125" i="3"/>
  <c r="DN125" i="3"/>
  <c r="DM125" i="3"/>
  <c r="DL125" i="3"/>
  <c r="DK125" i="3"/>
  <c r="DJ125" i="3"/>
  <c r="DI125" i="3"/>
  <c r="DH125" i="3"/>
  <c r="DG125" i="3"/>
  <c r="DF125" i="3"/>
  <c r="DE125" i="3"/>
  <c r="DD125" i="3"/>
  <c r="DC125" i="3"/>
  <c r="DB125" i="3"/>
  <c r="DA125" i="3"/>
  <c r="CZ125" i="3"/>
  <c r="CY125" i="3"/>
  <c r="CX125" i="3"/>
  <c r="CW125" i="3"/>
  <c r="CV125" i="3"/>
  <c r="CU125" i="3"/>
  <c r="CT125" i="3"/>
  <c r="CS125" i="3"/>
  <c r="CR125" i="3"/>
  <c r="CQ125" i="3"/>
  <c r="CP125" i="3"/>
  <c r="CO125" i="3"/>
  <c r="CN125" i="3"/>
  <c r="CM125" i="3"/>
  <c r="CL125" i="3"/>
  <c r="CK125" i="3"/>
  <c r="CJ125" i="3"/>
  <c r="CI125" i="3"/>
  <c r="CH125" i="3"/>
  <c r="CG125" i="3"/>
  <c r="CF125" i="3"/>
  <c r="CE125" i="3"/>
  <c r="CD125" i="3"/>
  <c r="CC125" i="3"/>
  <c r="CB125" i="3"/>
  <c r="CA125" i="3"/>
  <c r="BZ125" i="3"/>
  <c r="BY125" i="3"/>
  <c r="BX125" i="3"/>
  <c r="BW125" i="3"/>
  <c r="BV125" i="3"/>
  <c r="BU125" i="3"/>
  <c r="BT125" i="3"/>
  <c r="BS125" i="3"/>
  <c r="BR125" i="3"/>
  <c r="BQ125" i="3"/>
  <c r="BP125" i="3"/>
  <c r="BO125" i="3"/>
  <c r="BN125" i="3"/>
  <c r="BM125" i="3"/>
  <c r="BL125" i="3"/>
  <c r="BK125" i="3"/>
  <c r="BJ125" i="3"/>
  <c r="BI125" i="3"/>
  <c r="BH125" i="3"/>
  <c r="BG125" i="3"/>
  <c r="BF125" i="3"/>
  <c r="BE125" i="3"/>
  <c r="BD125" i="3"/>
  <c r="BC125" i="3"/>
  <c r="BB125" i="3"/>
  <c r="BA125" i="3"/>
  <c r="AZ125" i="3"/>
  <c r="AY125" i="3"/>
  <c r="AX125" i="3"/>
  <c r="AW125" i="3"/>
  <c r="AV125" i="3"/>
  <c r="AU125" i="3"/>
  <c r="AT125" i="3"/>
  <c r="AS125" i="3"/>
  <c r="AR125" i="3"/>
  <c r="AQ125" i="3"/>
  <c r="AP125" i="3"/>
  <c r="AO125" i="3"/>
  <c r="AN125" i="3"/>
  <c r="AM125" i="3"/>
  <c r="AL125" i="3"/>
  <c r="AK125" i="3"/>
  <c r="AJ125" i="3"/>
  <c r="AI125" i="3"/>
  <c r="AH125" i="3"/>
  <c r="AG125" i="3"/>
  <c r="AF125" i="3"/>
  <c r="AE125" i="3"/>
  <c r="AD125" i="3"/>
  <c r="AC125" i="3"/>
  <c r="AB125" i="3"/>
  <c r="AA125" i="3"/>
  <c r="Z125" i="3"/>
  <c r="Y125" i="3"/>
  <c r="X125" i="3"/>
  <c r="W125" i="3"/>
  <c r="V125" i="3"/>
  <c r="U125" i="3"/>
  <c r="T125" i="3"/>
  <c r="S125" i="3"/>
  <c r="D125" i="3"/>
  <c r="C125" i="3"/>
  <c r="B125" i="3"/>
  <c r="EL124" i="3"/>
  <c r="EK124" i="3"/>
  <c r="EJ124" i="3"/>
  <c r="EI124" i="3"/>
  <c r="EH124" i="3"/>
  <c r="EG124" i="3"/>
  <c r="EF124" i="3"/>
  <c r="EE124" i="3"/>
  <c r="ED124" i="3"/>
  <c r="EC124" i="3"/>
  <c r="EB124" i="3"/>
  <c r="EA124" i="3"/>
  <c r="DZ124" i="3"/>
  <c r="DY124" i="3"/>
  <c r="DX124" i="3"/>
  <c r="DW124" i="3"/>
  <c r="DV124" i="3"/>
  <c r="DU124" i="3"/>
  <c r="DT124" i="3"/>
  <c r="DS124" i="3"/>
  <c r="DR124" i="3"/>
  <c r="DQ124" i="3"/>
  <c r="DP124" i="3"/>
  <c r="DO124" i="3"/>
  <c r="DN124" i="3"/>
  <c r="DM124" i="3"/>
  <c r="DL124" i="3"/>
  <c r="DK124" i="3"/>
  <c r="DJ124" i="3"/>
  <c r="DI124" i="3"/>
  <c r="DH124" i="3"/>
  <c r="DG124" i="3"/>
  <c r="DF124" i="3"/>
  <c r="DE124" i="3"/>
  <c r="DD124" i="3"/>
  <c r="DC124" i="3"/>
  <c r="DB124" i="3"/>
  <c r="DA124" i="3"/>
  <c r="CZ124" i="3"/>
  <c r="CY124" i="3"/>
  <c r="CX124" i="3"/>
  <c r="CW124" i="3"/>
  <c r="CV124" i="3"/>
  <c r="CU124" i="3"/>
  <c r="CT124" i="3"/>
  <c r="CS124" i="3"/>
  <c r="CR124" i="3"/>
  <c r="CQ124" i="3"/>
  <c r="CP124" i="3"/>
  <c r="CO124" i="3"/>
  <c r="CN124" i="3"/>
  <c r="CM124" i="3"/>
  <c r="CL124" i="3"/>
  <c r="CK124" i="3"/>
  <c r="CJ124" i="3"/>
  <c r="CI124" i="3"/>
  <c r="CH124" i="3"/>
  <c r="CG124" i="3"/>
  <c r="CF124" i="3"/>
  <c r="CE124" i="3"/>
  <c r="CD124" i="3"/>
  <c r="CC124" i="3"/>
  <c r="CB124" i="3"/>
  <c r="CA124" i="3"/>
  <c r="BZ124" i="3"/>
  <c r="BY124" i="3"/>
  <c r="BX124" i="3"/>
  <c r="BW124" i="3"/>
  <c r="BV124" i="3"/>
  <c r="BU124" i="3"/>
  <c r="BT124" i="3"/>
  <c r="BS124" i="3"/>
  <c r="BR124" i="3"/>
  <c r="BQ124" i="3"/>
  <c r="BP124" i="3"/>
  <c r="BO124" i="3"/>
  <c r="BN124" i="3"/>
  <c r="BM124" i="3"/>
  <c r="BL124" i="3"/>
  <c r="BK124" i="3"/>
  <c r="BJ124" i="3"/>
  <c r="BI124" i="3"/>
  <c r="BH124" i="3"/>
  <c r="BG124" i="3"/>
  <c r="BF124" i="3"/>
  <c r="BE124" i="3"/>
  <c r="BD124" i="3"/>
  <c r="BC124" i="3"/>
  <c r="BB124" i="3"/>
  <c r="BA124" i="3"/>
  <c r="AZ124" i="3"/>
  <c r="AY124" i="3"/>
  <c r="AX124" i="3"/>
  <c r="AW124" i="3"/>
  <c r="AV124" i="3"/>
  <c r="AU124" i="3"/>
  <c r="AT124" i="3"/>
  <c r="AS124" i="3"/>
  <c r="AR124" i="3"/>
  <c r="AQ124" i="3"/>
  <c r="AP124" i="3"/>
  <c r="AO124" i="3"/>
  <c r="AN124" i="3"/>
  <c r="AM124" i="3"/>
  <c r="AL124" i="3"/>
  <c r="AK124" i="3"/>
  <c r="AJ124" i="3"/>
  <c r="AI124" i="3"/>
  <c r="AH124" i="3"/>
  <c r="AG124" i="3"/>
  <c r="AF124" i="3"/>
  <c r="AE124" i="3"/>
  <c r="AD124" i="3"/>
  <c r="AC124" i="3"/>
  <c r="AB124" i="3"/>
  <c r="AA124" i="3"/>
  <c r="Z124" i="3"/>
  <c r="Y124" i="3"/>
  <c r="X124" i="3"/>
  <c r="W124" i="3"/>
  <c r="V124" i="3"/>
  <c r="U124" i="3"/>
  <c r="T124" i="3"/>
  <c r="S124" i="3"/>
  <c r="D124" i="3"/>
  <c r="C124" i="3"/>
  <c r="B124" i="3"/>
  <c r="EL123" i="3"/>
  <c r="EK123" i="3"/>
  <c r="EJ123" i="3"/>
  <c r="EI123" i="3"/>
  <c r="EH123" i="3"/>
  <c r="EG123" i="3"/>
  <c r="EF123" i="3"/>
  <c r="EE123" i="3"/>
  <c r="ED123" i="3"/>
  <c r="EC123" i="3"/>
  <c r="EB123" i="3"/>
  <c r="EA123" i="3"/>
  <c r="DZ123" i="3"/>
  <c r="DY123" i="3"/>
  <c r="DX123" i="3"/>
  <c r="DW123" i="3"/>
  <c r="DV123" i="3"/>
  <c r="DU123" i="3"/>
  <c r="DT123" i="3"/>
  <c r="DS123" i="3"/>
  <c r="DR123" i="3"/>
  <c r="DQ123" i="3"/>
  <c r="DP123" i="3"/>
  <c r="DO123" i="3"/>
  <c r="DN123" i="3"/>
  <c r="DM123" i="3"/>
  <c r="DL123" i="3"/>
  <c r="DK123" i="3"/>
  <c r="DJ123" i="3"/>
  <c r="DI123" i="3"/>
  <c r="DH123" i="3"/>
  <c r="DG123" i="3"/>
  <c r="DF123" i="3"/>
  <c r="DE123" i="3"/>
  <c r="DD123" i="3"/>
  <c r="DC123" i="3"/>
  <c r="DB123" i="3"/>
  <c r="DA123" i="3"/>
  <c r="CZ123" i="3"/>
  <c r="CY123" i="3"/>
  <c r="CX123" i="3"/>
  <c r="CW123" i="3"/>
  <c r="CV123" i="3"/>
  <c r="CU123" i="3"/>
  <c r="CT123" i="3"/>
  <c r="CS123" i="3"/>
  <c r="CR123" i="3"/>
  <c r="CQ123" i="3"/>
  <c r="CP123" i="3"/>
  <c r="CO123" i="3"/>
  <c r="CN123" i="3"/>
  <c r="CM123" i="3"/>
  <c r="CL123" i="3"/>
  <c r="CK123" i="3"/>
  <c r="CJ123" i="3"/>
  <c r="CI123" i="3"/>
  <c r="CH123" i="3"/>
  <c r="CG123" i="3"/>
  <c r="CF123" i="3"/>
  <c r="CE123" i="3"/>
  <c r="CD123" i="3"/>
  <c r="CC123" i="3"/>
  <c r="CB123" i="3"/>
  <c r="CA123" i="3"/>
  <c r="BZ123" i="3"/>
  <c r="BY123" i="3"/>
  <c r="BX123" i="3"/>
  <c r="BW123" i="3"/>
  <c r="BV123" i="3"/>
  <c r="BU123" i="3"/>
  <c r="BT123" i="3"/>
  <c r="BS123" i="3"/>
  <c r="BR123" i="3"/>
  <c r="BQ123" i="3"/>
  <c r="BP123" i="3"/>
  <c r="BO123" i="3"/>
  <c r="BN123" i="3"/>
  <c r="BM123" i="3"/>
  <c r="BL123" i="3"/>
  <c r="BK123" i="3"/>
  <c r="BJ123" i="3"/>
  <c r="BI123" i="3"/>
  <c r="BH123" i="3"/>
  <c r="BG123" i="3"/>
  <c r="BF123" i="3"/>
  <c r="BE123" i="3"/>
  <c r="BD123" i="3"/>
  <c r="BC123" i="3"/>
  <c r="BB123" i="3"/>
  <c r="BA123" i="3"/>
  <c r="AZ123" i="3"/>
  <c r="AY123" i="3"/>
  <c r="AX123" i="3"/>
  <c r="AW123" i="3"/>
  <c r="AV123" i="3"/>
  <c r="AU123" i="3"/>
  <c r="AT123" i="3"/>
  <c r="AS123" i="3"/>
  <c r="AR123" i="3"/>
  <c r="AQ123" i="3"/>
  <c r="AP123" i="3"/>
  <c r="AO123" i="3"/>
  <c r="AN123" i="3"/>
  <c r="AM123" i="3"/>
  <c r="AL123" i="3"/>
  <c r="AK123" i="3"/>
  <c r="AJ123" i="3"/>
  <c r="AI123" i="3"/>
  <c r="AH123" i="3"/>
  <c r="AG123" i="3"/>
  <c r="AF123" i="3"/>
  <c r="AE123" i="3"/>
  <c r="AD123" i="3"/>
  <c r="AC123" i="3"/>
  <c r="AB123" i="3"/>
  <c r="AA123" i="3"/>
  <c r="Z123" i="3"/>
  <c r="Y123" i="3"/>
  <c r="X123" i="3"/>
  <c r="W123" i="3"/>
  <c r="V123" i="3"/>
  <c r="U123" i="3"/>
  <c r="T123" i="3"/>
  <c r="S123" i="3"/>
  <c r="D123" i="3"/>
  <c r="C123" i="3"/>
  <c r="B123" i="3"/>
  <c r="EL122" i="3"/>
  <c r="EK122" i="3"/>
  <c r="EJ122" i="3"/>
  <c r="EI122" i="3"/>
  <c r="EH122" i="3"/>
  <c r="EG122" i="3"/>
  <c r="EF122" i="3"/>
  <c r="EE122" i="3"/>
  <c r="ED122" i="3"/>
  <c r="EC122" i="3"/>
  <c r="EB122" i="3"/>
  <c r="EA122" i="3"/>
  <c r="DZ122" i="3"/>
  <c r="DY122" i="3"/>
  <c r="DX122" i="3"/>
  <c r="DW122" i="3"/>
  <c r="DV122" i="3"/>
  <c r="DU122" i="3"/>
  <c r="DT122" i="3"/>
  <c r="DS122" i="3"/>
  <c r="DR122" i="3"/>
  <c r="DQ122" i="3"/>
  <c r="DP122" i="3"/>
  <c r="DO122" i="3"/>
  <c r="DN122" i="3"/>
  <c r="DM122" i="3"/>
  <c r="DL122" i="3"/>
  <c r="DK122" i="3"/>
  <c r="DJ122" i="3"/>
  <c r="DI122" i="3"/>
  <c r="DH122" i="3"/>
  <c r="DG122" i="3"/>
  <c r="DF122" i="3"/>
  <c r="DE122" i="3"/>
  <c r="DD122" i="3"/>
  <c r="DC122" i="3"/>
  <c r="DB122" i="3"/>
  <c r="DA122" i="3"/>
  <c r="CZ122" i="3"/>
  <c r="CY122" i="3"/>
  <c r="CX122" i="3"/>
  <c r="CW122" i="3"/>
  <c r="CV122" i="3"/>
  <c r="CU122" i="3"/>
  <c r="CT122" i="3"/>
  <c r="CS122" i="3"/>
  <c r="CR122" i="3"/>
  <c r="CQ122" i="3"/>
  <c r="CP122" i="3"/>
  <c r="CO122" i="3"/>
  <c r="CN122" i="3"/>
  <c r="CM122" i="3"/>
  <c r="CL122" i="3"/>
  <c r="CK122" i="3"/>
  <c r="CJ122" i="3"/>
  <c r="CI122" i="3"/>
  <c r="CH122" i="3"/>
  <c r="CG122" i="3"/>
  <c r="CF122" i="3"/>
  <c r="CE122" i="3"/>
  <c r="CD122" i="3"/>
  <c r="CC122" i="3"/>
  <c r="CB122" i="3"/>
  <c r="CA122" i="3"/>
  <c r="BZ122" i="3"/>
  <c r="BY122" i="3"/>
  <c r="BX122" i="3"/>
  <c r="BW122" i="3"/>
  <c r="BV122" i="3"/>
  <c r="BU122" i="3"/>
  <c r="BT122" i="3"/>
  <c r="BS122" i="3"/>
  <c r="BR122" i="3"/>
  <c r="BQ122" i="3"/>
  <c r="BP122" i="3"/>
  <c r="BO122" i="3"/>
  <c r="BN122" i="3"/>
  <c r="BM122" i="3"/>
  <c r="BL122" i="3"/>
  <c r="BK122" i="3"/>
  <c r="BJ122" i="3"/>
  <c r="BI122" i="3"/>
  <c r="BH122" i="3"/>
  <c r="BG122" i="3"/>
  <c r="BF122" i="3"/>
  <c r="BE122" i="3"/>
  <c r="BD122" i="3"/>
  <c r="BC122" i="3"/>
  <c r="BB122" i="3"/>
  <c r="BA122" i="3"/>
  <c r="AZ122" i="3"/>
  <c r="AY122" i="3"/>
  <c r="AX122" i="3"/>
  <c r="AW122" i="3"/>
  <c r="AV122" i="3"/>
  <c r="AU122" i="3"/>
  <c r="AT122" i="3"/>
  <c r="AS122" i="3"/>
  <c r="AR122" i="3"/>
  <c r="AQ122" i="3"/>
  <c r="AP122" i="3"/>
  <c r="AO122" i="3"/>
  <c r="AN122" i="3"/>
  <c r="AM122" i="3"/>
  <c r="AL122" i="3"/>
  <c r="AK122" i="3"/>
  <c r="AJ122" i="3"/>
  <c r="AI122" i="3"/>
  <c r="AH122" i="3"/>
  <c r="AG122" i="3"/>
  <c r="AF122" i="3"/>
  <c r="AE122" i="3"/>
  <c r="AD122" i="3"/>
  <c r="AC122" i="3"/>
  <c r="AB122" i="3"/>
  <c r="AA122" i="3"/>
  <c r="Z122" i="3"/>
  <c r="Y122" i="3"/>
  <c r="X122" i="3"/>
  <c r="W122" i="3"/>
  <c r="V122" i="3"/>
  <c r="U122" i="3"/>
  <c r="T122" i="3"/>
  <c r="S122" i="3"/>
  <c r="D122" i="3"/>
  <c r="C122" i="3"/>
  <c r="B122" i="3"/>
  <c r="EL121" i="3"/>
  <c r="EK121" i="3"/>
  <c r="EJ121" i="3"/>
  <c r="EI121" i="3"/>
  <c r="EH121" i="3"/>
  <c r="EG121" i="3"/>
  <c r="EF121" i="3"/>
  <c r="EE121" i="3"/>
  <c r="ED121" i="3"/>
  <c r="EC121" i="3"/>
  <c r="EB121" i="3"/>
  <c r="EA121" i="3"/>
  <c r="DZ121" i="3"/>
  <c r="DY121" i="3"/>
  <c r="DX121" i="3"/>
  <c r="DW121" i="3"/>
  <c r="DV121" i="3"/>
  <c r="DU121" i="3"/>
  <c r="DT121" i="3"/>
  <c r="DS121" i="3"/>
  <c r="DR121" i="3"/>
  <c r="DQ121" i="3"/>
  <c r="DP121" i="3"/>
  <c r="DO121" i="3"/>
  <c r="DN121" i="3"/>
  <c r="DM121" i="3"/>
  <c r="DL121" i="3"/>
  <c r="DK121" i="3"/>
  <c r="DJ121" i="3"/>
  <c r="DI121" i="3"/>
  <c r="DH121" i="3"/>
  <c r="DG121" i="3"/>
  <c r="DF121" i="3"/>
  <c r="DE121" i="3"/>
  <c r="DD121" i="3"/>
  <c r="DC121" i="3"/>
  <c r="DB121" i="3"/>
  <c r="DA121" i="3"/>
  <c r="CZ121" i="3"/>
  <c r="CY121" i="3"/>
  <c r="CX121" i="3"/>
  <c r="CW121" i="3"/>
  <c r="CV121" i="3"/>
  <c r="CU121" i="3"/>
  <c r="CT121" i="3"/>
  <c r="CS121" i="3"/>
  <c r="CR121" i="3"/>
  <c r="CQ121" i="3"/>
  <c r="CP121" i="3"/>
  <c r="CO121" i="3"/>
  <c r="CN121" i="3"/>
  <c r="CM121" i="3"/>
  <c r="CL121" i="3"/>
  <c r="CK121" i="3"/>
  <c r="CJ121" i="3"/>
  <c r="CI121" i="3"/>
  <c r="CH121" i="3"/>
  <c r="CG121" i="3"/>
  <c r="CF121" i="3"/>
  <c r="CE121" i="3"/>
  <c r="CD121" i="3"/>
  <c r="CC121" i="3"/>
  <c r="CB121" i="3"/>
  <c r="CA121" i="3"/>
  <c r="BZ121" i="3"/>
  <c r="BY121" i="3"/>
  <c r="BX121" i="3"/>
  <c r="BW121" i="3"/>
  <c r="BV121" i="3"/>
  <c r="BU121" i="3"/>
  <c r="BT121" i="3"/>
  <c r="BS121" i="3"/>
  <c r="BR121" i="3"/>
  <c r="BQ121" i="3"/>
  <c r="BP121" i="3"/>
  <c r="BO121" i="3"/>
  <c r="BN121" i="3"/>
  <c r="BM121" i="3"/>
  <c r="BL121" i="3"/>
  <c r="BK121" i="3"/>
  <c r="BJ121" i="3"/>
  <c r="BI121" i="3"/>
  <c r="BH121" i="3"/>
  <c r="BG121" i="3"/>
  <c r="BF121" i="3"/>
  <c r="BE121" i="3"/>
  <c r="BD121" i="3"/>
  <c r="BC121" i="3"/>
  <c r="BB121" i="3"/>
  <c r="BA121" i="3"/>
  <c r="AZ121" i="3"/>
  <c r="AY121" i="3"/>
  <c r="AX121" i="3"/>
  <c r="AW121" i="3"/>
  <c r="AV121" i="3"/>
  <c r="AU121" i="3"/>
  <c r="AT121" i="3"/>
  <c r="AS121" i="3"/>
  <c r="AR121" i="3"/>
  <c r="AQ121" i="3"/>
  <c r="AP121" i="3"/>
  <c r="AO121" i="3"/>
  <c r="AN121" i="3"/>
  <c r="AM121" i="3"/>
  <c r="AL121" i="3"/>
  <c r="AK121" i="3"/>
  <c r="AJ121" i="3"/>
  <c r="AI121" i="3"/>
  <c r="AH121" i="3"/>
  <c r="AG121" i="3"/>
  <c r="AF121" i="3"/>
  <c r="AE121" i="3"/>
  <c r="AD121" i="3"/>
  <c r="AC121" i="3"/>
  <c r="AB121" i="3"/>
  <c r="AA121" i="3"/>
  <c r="Z121" i="3"/>
  <c r="Y121" i="3"/>
  <c r="X121" i="3"/>
  <c r="W121" i="3"/>
  <c r="V121" i="3"/>
  <c r="U121" i="3"/>
  <c r="T121" i="3"/>
  <c r="S121" i="3"/>
  <c r="D121" i="3"/>
  <c r="C121" i="3"/>
  <c r="B121" i="3"/>
  <c r="EL120" i="3"/>
  <c r="EK120" i="3"/>
  <c r="EJ120" i="3"/>
  <c r="EI120" i="3"/>
  <c r="EH120" i="3"/>
  <c r="EG120" i="3"/>
  <c r="EF120" i="3"/>
  <c r="EE120" i="3"/>
  <c r="ED120" i="3"/>
  <c r="EC120" i="3"/>
  <c r="EB120" i="3"/>
  <c r="EA120" i="3"/>
  <c r="DZ120" i="3"/>
  <c r="DY120" i="3"/>
  <c r="DX120" i="3"/>
  <c r="DW120" i="3"/>
  <c r="DV120" i="3"/>
  <c r="DU120" i="3"/>
  <c r="DT120" i="3"/>
  <c r="DS120" i="3"/>
  <c r="DR120" i="3"/>
  <c r="DQ120" i="3"/>
  <c r="DP120" i="3"/>
  <c r="DO120" i="3"/>
  <c r="DN120" i="3"/>
  <c r="DM120" i="3"/>
  <c r="DL120" i="3"/>
  <c r="DK120" i="3"/>
  <c r="DJ120" i="3"/>
  <c r="DI120" i="3"/>
  <c r="DH120" i="3"/>
  <c r="DG120" i="3"/>
  <c r="DF120" i="3"/>
  <c r="DE120" i="3"/>
  <c r="DD120" i="3"/>
  <c r="DC120" i="3"/>
  <c r="DB120" i="3"/>
  <c r="DA120" i="3"/>
  <c r="CZ120" i="3"/>
  <c r="CY120" i="3"/>
  <c r="CX120" i="3"/>
  <c r="CW120" i="3"/>
  <c r="CV120" i="3"/>
  <c r="CU120" i="3"/>
  <c r="CT120" i="3"/>
  <c r="CS120" i="3"/>
  <c r="CR120" i="3"/>
  <c r="CQ120" i="3"/>
  <c r="CP120" i="3"/>
  <c r="CO120" i="3"/>
  <c r="CN120" i="3"/>
  <c r="CM120" i="3"/>
  <c r="CL120" i="3"/>
  <c r="CK120" i="3"/>
  <c r="CJ120" i="3"/>
  <c r="CI120" i="3"/>
  <c r="CH120" i="3"/>
  <c r="CG120" i="3"/>
  <c r="CF120" i="3"/>
  <c r="CE120" i="3"/>
  <c r="CD120" i="3"/>
  <c r="CC120" i="3"/>
  <c r="CB120" i="3"/>
  <c r="CA120" i="3"/>
  <c r="BZ120" i="3"/>
  <c r="BY120" i="3"/>
  <c r="BX120" i="3"/>
  <c r="BW120" i="3"/>
  <c r="BV120" i="3"/>
  <c r="BU120" i="3"/>
  <c r="BT120" i="3"/>
  <c r="BS120" i="3"/>
  <c r="BR120" i="3"/>
  <c r="BQ120" i="3"/>
  <c r="BP120" i="3"/>
  <c r="BO120" i="3"/>
  <c r="BN120" i="3"/>
  <c r="BM120" i="3"/>
  <c r="BL120" i="3"/>
  <c r="BK120" i="3"/>
  <c r="BJ120" i="3"/>
  <c r="BI120" i="3"/>
  <c r="BH120" i="3"/>
  <c r="BG120" i="3"/>
  <c r="BF120" i="3"/>
  <c r="BE120" i="3"/>
  <c r="BD120" i="3"/>
  <c r="BC120" i="3"/>
  <c r="BB120" i="3"/>
  <c r="BA120" i="3"/>
  <c r="AZ120" i="3"/>
  <c r="AY120" i="3"/>
  <c r="AX120" i="3"/>
  <c r="AW120" i="3"/>
  <c r="AV120" i="3"/>
  <c r="AU120" i="3"/>
  <c r="AT120" i="3"/>
  <c r="AS120" i="3"/>
  <c r="AR120" i="3"/>
  <c r="AQ120" i="3"/>
  <c r="AP120" i="3"/>
  <c r="AO120" i="3"/>
  <c r="AN120" i="3"/>
  <c r="AM120" i="3"/>
  <c r="AL120" i="3"/>
  <c r="AK120" i="3"/>
  <c r="AJ120" i="3"/>
  <c r="AI120" i="3"/>
  <c r="AH120" i="3"/>
  <c r="AG120" i="3"/>
  <c r="AF120" i="3"/>
  <c r="AE120" i="3"/>
  <c r="AD120" i="3"/>
  <c r="AC120" i="3"/>
  <c r="AB120" i="3"/>
  <c r="AA120" i="3"/>
  <c r="Z120" i="3"/>
  <c r="Y120" i="3"/>
  <c r="X120" i="3"/>
  <c r="W120" i="3"/>
  <c r="V120" i="3"/>
  <c r="U120" i="3"/>
  <c r="T120" i="3"/>
  <c r="S120" i="3"/>
  <c r="D120" i="3"/>
  <c r="C120" i="3"/>
  <c r="B120" i="3"/>
  <c r="EL119" i="3"/>
  <c r="EK119" i="3"/>
  <c r="EJ119" i="3"/>
  <c r="EI119" i="3"/>
  <c r="EH119" i="3"/>
  <c r="EG119" i="3"/>
  <c r="EF119" i="3"/>
  <c r="EE119" i="3"/>
  <c r="ED119" i="3"/>
  <c r="EC119" i="3"/>
  <c r="EB119" i="3"/>
  <c r="EA119" i="3"/>
  <c r="DZ119" i="3"/>
  <c r="DY119" i="3"/>
  <c r="DX119" i="3"/>
  <c r="DW119" i="3"/>
  <c r="DV119" i="3"/>
  <c r="DU119" i="3"/>
  <c r="DT119" i="3"/>
  <c r="DS119" i="3"/>
  <c r="DR119" i="3"/>
  <c r="DQ119" i="3"/>
  <c r="DP119" i="3"/>
  <c r="DO119" i="3"/>
  <c r="DN119" i="3"/>
  <c r="DM119" i="3"/>
  <c r="DL119" i="3"/>
  <c r="DK119" i="3"/>
  <c r="DJ119" i="3"/>
  <c r="DI119" i="3"/>
  <c r="DH119" i="3"/>
  <c r="DG119" i="3"/>
  <c r="DF119" i="3"/>
  <c r="DE119" i="3"/>
  <c r="DD119" i="3"/>
  <c r="DC119" i="3"/>
  <c r="DB119" i="3"/>
  <c r="DA119" i="3"/>
  <c r="CZ119" i="3"/>
  <c r="CY119" i="3"/>
  <c r="CX119" i="3"/>
  <c r="CW119" i="3"/>
  <c r="CV119" i="3"/>
  <c r="CU119" i="3"/>
  <c r="CT119" i="3"/>
  <c r="CS119" i="3"/>
  <c r="CR119" i="3"/>
  <c r="CQ119" i="3"/>
  <c r="CP119" i="3"/>
  <c r="CO119" i="3"/>
  <c r="CN119" i="3"/>
  <c r="CM119" i="3"/>
  <c r="CL119" i="3"/>
  <c r="CK119" i="3"/>
  <c r="CJ119" i="3"/>
  <c r="CI119" i="3"/>
  <c r="CH119" i="3"/>
  <c r="CG119" i="3"/>
  <c r="CF119" i="3"/>
  <c r="CE119" i="3"/>
  <c r="CD119" i="3"/>
  <c r="CC119" i="3"/>
  <c r="CB119" i="3"/>
  <c r="CA119" i="3"/>
  <c r="BZ119" i="3"/>
  <c r="BY119" i="3"/>
  <c r="BX119" i="3"/>
  <c r="BW119" i="3"/>
  <c r="BV119" i="3"/>
  <c r="BU119" i="3"/>
  <c r="BT119" i="3"/>
  <c r="BS119" i="3"/>
  <c r="BR119" i="3"/>
  <c r="BQ119" i="3"/>
  <c r="BP119" i="3"/>
  <c r="BO119" i="3"/>
  <c r="BN119" i="3"/>
  <c r="BM119" i="3"/>
  <c r="BL119" i="3"/>
  <c r="BK119" i="3"/>
  <c r="BJ119" i="3"/>
  <c r="BI119" i="3"/>
  <c r="BH119" i="3"/>
  <c r="BG119" i="3"/>
  <c r="BF119" i="3"/>
  <c r="BE119" i="3"/>
  <c r="BD119" i="3"/>
  <c r="BC119" i="3"/>
  <c r="BB119" i="3"/>
  <c r="BA119" i="3"/>
  <c r="AZ119" i="3"/>
  <c r="AY119" i="3"/>
  <c r="AX119" i="3"/>
  <c r="AW119" i="3"/>
  <c r="AV119" i="3"/>
  <c r="AU119" i="3"/>
  <c r="AT119" i="3"/>
  <c r="AS119" i="3"/>
  <c r="AR119" i="3"/>
  <c r="AQ119" i="3"/>
  <c r="AP119" i="3"/>
  <c r="AO119" i="3"/>
  <c r="AN119" i="3"/>
  <c r="AM119" i="3"/>
  <c r="AL119" i="3"/>
  <c r="AK119" i="3"/>
  <c r="AJ119" i="3"/>
  <c r="AI119" i="3"/>
  <c r="AH119" i="3"/>
  <c r="AG119" i="3"/>
  <c r="AF119" i="3"/>
  <c r="AE119" i="3"/>
  <c r="AD119" i="3"/>
  <c r="AC119" i="3"/>
  <c r="AB119" i="3"/>
  <c r="AA119" i="3"/>
  <c r="Z119" i="3"/>
  <c r="Y119" i="3"/>
  <c r="X119" i="3"/>
  <c r="W119" i="3"/>
  <c r="V119" i="3"/>
  <c r="U119" i="3"/>
  <c r="T119" i="3"/>
  <c r="S119" i="3"/>
  <c r="D119" i="3"/>
  <c r="C119" i="3"/>
  <c r="B119" i="3"/>
  <c r="EL118" i="3"/>
  <c r="EK118" i="3"/>
  <c r="EJ118" i="3"/>
  <c r="EI118" i="3"/>
  <c r="EH118" i="3"/>
  <c r="EG118" i="3"/>
  <c r="EF118" i="3"/>
  <c r="EE118" i="3"/>
  <c r="ED118" i="3"/>
  <c r="EC118" i="3"/>
  <c r="EB118" i="3"/>
  <c r="EA118" i="3"/>
  <c r="DZ118" i="3"/>
  <c r="DY118" i="3"/>
  <c r="DX118" i="3"/>
  <c r="DW118" i="3"/>
  <c r="DV118" i="3"/>
  <c r="DU118" i="3"/>
  <c r="DT118" i="3"/>
  <c r="DS118" i="3"/>
  <c r="DR118" i="3"/>
  <c r="DQ118" i="3"/>
  <c r="DP118" i="3"/>
  <c r="DO118" i="3"/>
  <c r="DN118" i="3"/>
  <c r="DM118" i="3"/>
  <c r="DL118" i="3"/>
  <c r="DK118" i="3"/>
  <c r="DJ118" i="3"/>
  <c r="DI118" i="3"/>
  <c r="DH118" i="3"/>
  <c r="DG118" i="3"/>
  <c r="DF118" i="3"/>
  <c r="DE118" i="3"/>
  <c r="DD118" i="3"/>
  <c r="DC118" i="3"/>
  <c r="DB118" i="3"/>
  <c r="DA118" i="3"/>
  <c r="CZ118" i="3"/>
  <c r="CY118" i="3"/>
  <c r="CX118" i="3"/>
  <c r="CW118" i="3"/>
  <c r="CV118" i="3"/>
  <c r="CU118" i="3"/>
  <c r="CT118" i="3"/>
  <c r="CS118" i="3"/>
  <c r="CR118" i="3"/>
  <c r="CQ118" i="3"/>
  <c r="CP118" i="3"/>
  <c r="CO118" i="3"/>
  <c r="CN118" i="3"/>
  <c r="CM118" i="3"/>
  <c r="CL118" i="3"/>
  <c r="CK118" i="3"/>
  <c r="CJ118" i="3"/>
  <c r="CI118" i="3"/>
  <c r="CH118" i="3"/>
  <c r="CG118" i="3"/>
  <c r="CF118" i="3"/>
  <c r="CE118" i="3"/>
  <c r="CD118" i="3"/>
  <c r="CC118" i="3"/>
  <c r="CB118" i="3"/>
  <c r="CA118" i="3"/>
  <c r="BZ118" i="3"/>
  <c r="BY118" i="3"/>
  <c r="BX118" i="3"/>
  <c r="BW118" i="3"/>
  <c r="BV118" i="3"/>
  <c r="BU118" i="3"/>
  <c r="BT118" i="3"/>
  <c r="BS118" i="3"/>
  <c r="BR118" i="3"/>
  <c r="BQ118" i="3"/>
  <c r="BP118" i="3"/>
  <c r="BO118" i="3"/>
  <c r="BN118" i="3"/>
  <c r="BM118" i="3"/>
  <c r="BL118" i="3"/>
  <c r="BK118" i="3"/>
  <c r="BJ118" i="3"/>
  <c r="BI118" i="3"/>
  <c r="BH118" i="3"/>
  <c r="BG118" i="3"/>
  <c r="BF118" i="3"/>
  <c r="BE118" i="3"/>
  <c r="BD118" i="3"/>
  <c r="BC118" i="3"/>
  <c r="BB118" i="3"/>
  <c r="BA118" i="3"/>
  <c r="AZ118" i="3"/>
  <c r="AY118" i="3"/>
  <c r="AX118" i="3"/>
  <c r="AW118" i="3"/>
  <c r="AV118" i="3"/>
  <c r="AU118" i="3"/>
  <c r="AT118" i="3"/>
  <c r="AS118" i="3"/>
  <c r="AR118" i="3"/>
  <c r="AQ118" i="3"/>
  <c r="AP118" i="3"/>
  <c r="AO118" i="3"/>
  <c r="AN118" i="3"/>
  <c r="AM118" i="3"/>
  <c r="AL118" i="3"/>
  <c r="AK118" i="3"/>
  <c r="AJ118" i="3"/>
  <c r="AI118" i="3"/>
  <c r="AH118" i="3"/>
  <c r="AG118" i="3"/>
  <c r="AF118" i="3"/>
  <c r="AE118" i="3"/>
  <c r="AD118" i="3"/>
  <c r="AC118" i="3"/>
  <c r="AB118" i="3"/>
  <c r="AA118" i="3"/>
  <c r="Z118" i="3"/>
  <c r="Y118" i="3"/>
  <c r="X118" i="3"/>
  <c r="W118" i="3"/>
  <c r="V118" i="3"/>
  <c r="U118" i="3"/>
  <c r="T118" i="3"/>
  <c r="S118" i="3"/>
  <c r="D118" i="3"/>
  <c r="C118" i="3"/>
  <c r="B118" i="3"/>
  <c r="EL117" i="3"/>
  <c r="EK117" i="3"/>
  <c r="EJ117" i="3"/>
  <c r="EI117" i="3"/>
  <c r="EH117" i="3"/>
  <c r="EG117" i="3"/>
  <c r="EF117" i="3"/>
  <c r="EE117" i="3"/>
  <c r="ED117" i="3"/>
  <c r="EC117" i="3"/>
  <c r="EB117" i="3"/>
  <c r="EA117" i="3"/>
  <c r="DZ117" i="3"/>
  <c r="DY117" i="3"/>
  <c r="DX117" i="3"/>
  <c r="DW117" i="3"/>
  <c r="DV117" i="3"/>
  <c r="DU117" i="3"/>
  <c r="DT117" i="3"/>
  <c r="DS117" i="3"/>
  <c r="DR117" i="3"/>
  <c r="DQ117" i="3"/>
  <c r="DP117" i="3"/>
  <c r="DO117" i="3"/>
  <c r="DN117" i="3"/>
  <c r="DM117" i="3"/>
  <c r="DL117" i="3"/>
  <c r="DK117" i="3"/>
  <c r="DJ117" i="3"/>
  <c r="DI117" i="3"/>
  <c r="DH117" i="3"/>
  <c r="DG117" i="3"/>
  <c r="DF117" i="3"/>
  <c r="DE117" i="3"/>
  <c r="DD117" i="3"/>
  <c r="DC117" i="3"/>
  <c r="DB117" i="3"/>
  <c r="DA117" i="3"/>
  <c r="CZ117" i="3"/>
  <c r="CY117" i="3"/>
  <c r="CX117" i="3"/>
  <c r="CW117" i="3"/>
  <c r="CV117" i="3"/>
  <c r="CU117" i="3"/>
  <c r="CT117" i="3"/>
  <c r="CS117" i="3"/>
  <c r="CR117" i="3"/>
  <c r="CQ117" i="3"/>
  <c r="CP117" i="3"/>
  <c r="CO117" i="3"/>
  <c r="CN117" i="3"/>
  <c r="CM117" i="3"/>
  <c r="CL117" i="3"/>
  <c r="CK117" i="3"/>
  <c r="CJ117" i="3"/>
  <c r="CI117" i="3"/>
  <c r="CH117" i="3"/>
  <c r="CG117" i="3"/>
  <c r="CF117" i="3"/>
  <c r="CE117" i="3"/>
  <c r="CD117" i="3"/>
  <c r="CC117" i="3"/>
  <c r="CB117" i="3"/>
  <c r="CA117" i="3"/>
  <c r="BZ117" i="3"/>
  <c r="BY117" i="3"/>
  <c r="BX117" i="3"/>
  <c r="BW117" i="3"/>
  <c r="BV117" i="3"/>
  <c r="BU117" i="3"/>
  <c r="BT117" i="3"/>
  <c r="BS117" i="3"/>
  <c r="BR117" i="3"/>
  <c r="BQ117" i="3"/>
  <c r="BP117" i="3"/>
  <c r="BO117" i="3"/>
  <c r="BN117" i="3"/>
  <c r="BM117" i="3"/>
  <c r="BL117" i="3"/>
  <c r="BK117" i="3"/>
  <c r="BJ117" i="3"/>
  <c r="BI117" i="3"/>
  <c r="BH117" i="3"/>
  <c r="BG117" i="3"/>
  <c r="BF117" i="3"/>
  <c r="BE117" i="3"/>
  <c r="BD117" i="3"/>
  <c r="BC117" i="3"/>
  <c r="BB117" i="3"/>
  <c r="BA117" i="3"/>
  <c r="AZ117" i="3"/>
  <c r="AY117" i="3"/>
  <c r="AX117" i="3"/>
  <c r="AW117" i="3"/>
  <c r="AV117" i="3"/>
  <c r="AU117" i="3"/>
  <c r="AT117" i="3"/>
  <c r="AS117" i="3"/>
  <c r="AR117" i="3"/>
  <c r="AQ117" i="3"/>
  <c r="AP117" i="3"/>
  <c r="AO117" i="3"/>
  <c r="AN117" i="3"/>
  <c r="AM117" i="3"/>
  <c r="AL117" i="3"/>
  <c r="AK117" i="3"/>
  <c r="AJ117" i="3"/>
  <c r="AI117" i="3"/>
  <c r="AH117" i="3"/>
  <c r="AG117" i="3"/>
  <c r="AF117" i="3"/>
  <c r="AE117" i="3"/>
  <c r="AD117" i="3"/>
  <c r="AC117" i="3"/>
  <c r="AB117" i="3"/>
  <c r="AA117" i="3"/>
  <c r="Z117" i="3"/>
  <c r="Y117" i="3"/>
  <c r="X117" i="3"/>
  <c r="W117" i="3"/>
  <c r="V117" i="3"/>
  <c r="U117" i="3"/>
  <c r="T117" i="3"/>
  <c r="S117" i="3"/>
  <c r="D117" i="3"/>
  <c r="C117" i="3"/>
  <c r="B117" i="3"/>
  <c r="EL116" i="3"/>
  <c r="EK116" i="3"/>
  <c r="EJ116" i="3"/>
  <c r="EI116" i="3"/>
  <c r="EH116" i="3"/>
  <c r="EG116" i="3"/>
  <c r="EF116" i="3"/>
  <c r="EE116" i="3"/>
  <c r="ED116" i="3"/>
  <c r="EC116" i="3"/>
  <c r="EB116" i="3"/>
  <c r="EA116" i="3"/>
  <c r="DZ116" i="3"/>
  <c r="DY116" i="3"/>
  <c r="DX116" i="3"/>
  <c r="DW116" i="3"/>
  <c r="DV116" i="3"/>
  <c r="DU116" i="3"/>
  <c r="DT116" i="3"/>
  <c r="DS116" i="3"/>
  <c r="DR116" i="3"/>
  <c r="DQ116" i="3"/>
  <c r="DP116" i="3"/>
  <c r="DO116" i="3"/>
  <c r="DN116" i="3"/>
  <c r="DM116" i="3"/>
  <c r="DL116" i="3"/>
  <c r="DK116" i="3"/>
  <c r="DJ116" i="3"/>
  <c r="DI116" i="3"/>
  <c r="DH116" i="3"/>
  <c r="DG116" i="3"/>
  <c r="DF116" i="3"/>
  <c r="DE116" i="3"/>
  <c r="DD116" i="3"/>
  <c r="DC116" i="3"/>
  <c r="DB116" i="3"/>
  <c r="DA116" i="3"/>
  <c r="CZ116" i="3"/>
  <c r="CY116" i="3"/>
  <c r="CX116" i="3"/>
  <c r="CW116" i="3"/>
  <c r="CV116" i="3"/>
  <c r="CU116" i="3"/>
  <c r="CT116" i="3"/>
  <c r="CS116" i="3"/>
  <c r="CR116" i="3"/>
  <c r="CQ116" i="3"/>
  <c r="CP116" i="3"/>
  <c r="CO116" i="3"/>
  <c r="CN116" i="3"/>
  <c r="CM116" i="3"/>
  <c r="CL116" i="3"/>
  <c r="CK116" i="3"/>
  <c r="CJ116" i="3"/>
  <c r="CI116" i="3"/>
  <c r="CH116" i="3"/>
  <c r="CG116" i="3"/>
  <c r="CF116" i="3"/>
  <c r="CE116" i="3"/>
  <c r="CD116" i="3"/>
  <c r="CC116" i="3"/>
  <c r="CB116" i="3"/>
  <c r="CA116" i="3"/>
  <c r="BZ116" i="3"/>
  <c r="BY116" i="3"/>
  <c r="BX116" i="3"/>
  <c r="BW116" i="3"/>
  <c r="BV116" i="3"/>
  <c r="BU116" i="3"/>
  <c r="BT116" i="3"/>
  <c r="BS116" i="3"/>
  <c r="BR116" i="3"/>
  <c r="BQ116" i="3"/>
  <c r="BP116" i="3"/>
  <c r="BO116" i="3"/>
  <c r="BN116" i="3"/>
  <c r="BM116" i="3"/>
  <c r="BL116" i="3"/>
  <c r="BK116" i="3"/>
  <c r="BJ116" i="3"/>
  <c r="BI116" i="3"/>
  <c r="BH116" i="3"/>
  <c r="BG116" i="3"/>
  <c r="BF116" i="3"/>
  <c r="BE116" i="3"/>
  <c r="BD116" i="3"/>
  <c r="BC116" i="3"/>
  <c r="BB116" i="3"/>
  <c r="BA116" i="3"/>
  <c r="AZ116" i="3"/>
  <c r="AY116" i="3"/>
  <c r="AX116" i="3"/>
  <c r="AW116" i="3"/>
  <c r="AV116" i="3"/>
  <c r="AU116" i="3"/>
  <c r="AT116" i="3"/>
  <c r="AS116" i="3"/>
  <c r="AR116" i="3"/>
  <c r="AQ116" i="3"/>
  <c r="AP116" i="3"/>
  <c r="AO116" i="3"/>
  <c r="AN116" i="3"/>
  <c r="AM116" i="3"/>
  <c r="AL116" i="3"/>
  <c r="AK116" i="3"/>
  <c r="AJ116" i="3"/>
  <c r="AI116" i="3"/>
  <c r="AH116" i="3"/>
  <c r="AG116" i="3"/>
  <c r="AF116" i="3"/>
  <c r="AE116" i="3"/>
  <c r="AD116" i="3"/>
  <c r="AC116" i="3"/>
  <c r="AB116" i="3"/>
  <c r="AA116" i="3"/>
  <c r="Z116" i="3"/>
  <c r="Y116" i="3"/>
  <c r="X116" i="3"/>
  <c r="W116" i="3"/>
  <c r="V116" i="3"/>
  <c r="U116" i="3"/>
  <c r="T116" i="3"/>
  <c r="S116" i="3"/>
  <c r="D116" i="3"/>
  <c r="C116" i="3"/>
  <c r="B116" i="3"/>
  <c r="EL115" i="3"/>
  <c r="EK115" i="3"/>
  <c r="EJ115" i="3"/>
  <c r="EI115" i="3"/>
  <c r="EH115" i="3"/>
  <c r="EG115" i="3"/>
  <c r="EF115" i="3"/>
  <c r="EE115" i="3"/>
  <c r="ED115" i="3"/>
  <c r="EC115" i="3"/>
  <c r="EB115" i="3"/>
  <c r="EA115" i="3"/>
  <c r="DZ115" i="3"/>
  <c r="DY115" i="3"/>
  <c r="DX115" i="3"/>
  <c r="DW115" i="3"/>
  <c r="DV115" i="3"/>
  <c r="DU115" i="3"/>
  <c r="DT115" i="3"/>
  <c r="DS115" i="3"/>
  <c r="DR115" i="3"/>
  <c r="DQ115" i="3"/>
  <c r="DP115" i="3"/>
  <c r="DO115" i="3"/>
  <c r="DN115" i="3"/>
  <c r="DM115" i="3"/>
  <c r="DL115" i="3"/>
  <c r="DK115" i="3"/>
  <c r="DJ115" i="3"/>
  <c r="DI115" i="3"/>
  <c r="DH115" i="3"/>
  <c r="DG115" i="3"/>
  <c r="DF115" i="3"/>
  <c r="DE115" i="3"/>
  <c r="DD115" i="3"/>
  <c r="DC115" i="3"/>
  <c r="DB115" i="3"/>
  <c r="DA115" i="3"/>
  <c r="CZ115" i="3"/>
  <c r="CY115" i="3"/>
  <c r="CX115" i="3"/>
  <c r="CW115" i="3"/>
  <c r="CV115" i="3"/>
  <c r="CU115" i="3"/>
  <c r="CT115" i="3"/>
  <c r="CS115" i="3"/>
  <c r="CR115" i="3"/>
  <c r="CQ115" i="3"/>
  <c r="CP115" i="3"/>
  <c r="CO115" i="3"/>
  <c r="CN115" i="3"/>
  <c r="CM115" i="3"/>
  <c r="CL115" i="3"/>
  <c r="CK115" i="3"/>
  <c r="CJ115" i="3"/>
  <c r="CI115" i="3"/>
  <c r="CH115" i="3"/>
  <c r="CG115" i="3"/>
  <c r="CF115" i="3"/>
  <c r="CE115" i="3"/>
  <c r="CD115" i="3"/>
  <c r="CC115" i="3"/>
  <c r="CB115" i="3"/>
  <c r="CA115" i="3"/>
  <c r="BZ115" i="3"/>
  <c r="BY115" i="3"/>
  <c r="BX115" i="3"/>
  <c r="BW115" i="3"/>
  <c r="BV115" i="3"/>
  <c r="BU115" i="3"/>
  <c r="BT115" i="3"/>
  <c r="BS115" i="3"/>
  <c r="BR115" i="3"/>
  <c r="BQ115" i="3"/>
  <c r="BP115" i="3"/>
  <c r="BO115" i="3"/>
  <c r="BN115" i="3"/>
  <c r="BM115" i="3"/>
  <c r="BL115" i="3"/>
  <c r="BK115" i="3"/>
  <c r="BJ115" i="3"/>
  <c r="BI115" i="3"/>
  <c r="BH115" i="3"/>
  <c r="BG115" i="3"/>
  <c r="BF115" i="3"/>
  <c r="BE115" i="3"/>
  <c r="BD115" i="3"/>
  <c r="BC115" i="3"/>
  <c r="BB115" i="3"/>
  <c r="BA115" i="3"/>
  <c r="AZ115" i="3"/>
  <c r="AY115" i="3"/>
  <c r="AX115" i="3"/>
  <c r="AW115" i="3"/>
  <c r="AV115" i="3"/>
  <c r="AU115" i="3"/>
  <c r="AT115" i="3"/>
  <c r="AS115" i="3"/>
  <c r="AR115" i="3"/>
  <c r="AQ115" i="3"/>
  <c r="AP115" i="3"/>
  <c r="AO115" i="3"/>
  <c r="AN115" i="3"/>
  <c r="AM115" i="3"/>
  <c r="AL115" i="3"/>
  <c r="AK115" i="3"/>
  <c r="AJ115" i="3"/>
  <c r="AI115" i="3"/>
  <c r="AH115" i="3"/>
  <c r="AG115" i="3"/>
  <c r="AF115" i="3"/>
  <c r="AE115" i="3"/>
  <c r="AD115" i="3"/>
  <c r="AC115" i="3"/>
  <c r="AB115" i="3"/>
  <c r="AA115" i="3"/>
  <c r="Z115" i="3"/>
  <c r="Y115" i="3"/>
  <c r="X115" i="3"/>
  <c r="W115" i="3"/>
  <c r="V115" i="3"/>
  <c r="U115" i="3"/>
  <c r="T115" i="3"/>
  <c r="S115" i="3"/>
  <c r="D115" i="3"/>
  <c r="C115" i="3"/>
  <c r="B115" i="3"/>
  <c r="EL114" i="3"/>
  <c r="EK114" i="3"/>
  <c r="EJ114" i="3"/>
  <c r="EI114" i="3"/>
  <c r="EH114" i="3"/>
  <c r="EG114" i="3"/>
  <c r="EF114" i="3"/>
  <c r="EE114" i="3"/>
  <c r="ED114" i="3"/>
  <c r="EC114" i="3"/>
  <c r="EB114" i="3"/>
  <c r="EA114" i="3"/>
  <c r="DZ114" i="3"/>
  <c r="DY114" i="3"/>
  <c r="DX114" i="3"/>
  <c r="DW114" i="3"/>
  <c r="DV114" i="3"/>
  <c r="DU114" i="3"/>
  <c r="DT114" i="3"/>
  <c r="DS114" i="3"/>
  <c r="DR114" i="3"/>
  <c r="DQ114" i="3"/>
  <c r="DP114" i="3"/>
  <c r="DO114" i="3"/>
  <c r="DN114" i="3"/>
  <c r="DM114" i="3"/>
  <c r="DL114" i="3"/>
  <c r="DK114" i="3"/>
  <c r="DJ114" i="3"/>
  <c r="DI114" i="3"/>
  <c r="DH114" i="3"/>
  <c r="DG114" i="3"/>
  <c r="DF114" i="3"/>
  <c r="DE114" i="3"/>
  <c r="DD114" i="3"/>
  <c r="DC114" i="3"/>
  <c r="DB114" i="3"/>
  <c r="DA114" i="3"/>
  <c r="CZ114" i="3"/>
  <c r="CY114" i="3"/>
  <c r="CX114" i="3"/>
  <c r="CW114" i="3"/>
  <c r="CV114" i="3"/>
  <c r="CU114" i="3"/>
  <c r="CT114" i="3"/>
  <c r="CS114" i="3"/>
  <c r="CR114" i="3"/>
  <c r="CQ114" i="3"/>
  <c r="CP114" i="3"/>
  <c r="CO114" i="3"/>
  <c r="CN114" i="3"/>
  <c r="CM114" i="3"/>
  <c r="CL114" i="3"/>
  <c r="CK114" i="3"/>
  <c r="CJ114" i="3"/>
  <c r="CI114" i="3"/>
  <c r="CH114" i="3"/>
  <c r="CG114" i="3"/>
  <c r="CF114" i="3"/>
  <c r="CE114" i="3"/>
  <c r="CD114" i="3"/>
  <c r="CC114" i="3"/>
  <c r="CB114" i="3"/>
  <c r="CA114" i="3"/>
  <c r="BZ114" i="3"/>
  <c r="BY114" i="3"/>
  <c r="BX114" i="3"/>
  <c r="BW114" i="3"/>
  <c r="BV114" i="3"/>
  <c r="BU114" i="3"/>
  <c r="BT114" i="3"/>
  <c r="BS114" i="3"/>
  <c r="BR114" i="3"/>
  <c r="BQ114" i="3"/>
  <c r="BP114" i="3"/>
  <c r="BO114" i="3"/>
  <c r="BN114" i="3"/>
  <c r="BM114" i="3"/>
  <c r="BL114" i="3"/>
  <c r="BK114" i="3"/>
  <c r="BJ114" i="3"/>
  <c r="BI114" i="3"/>
  <c r="BH114" i="3"/>
  <c r="BG114" i="3"/>
  <c r="BF114" i="3"/>
  <c r="BE114" i="3"/>
  <c r="BD114" i="3"/>
  <c r="BC114" i="3"/>
  <c r="BB114" i="3"/>
  <c r="BA114" i="3"/>
  <c r="AZ114" i="3"/>
  <c r="AY114" i="3"/>
  <c r="AX114" i="3"/>
  <c r="AW114" i="3"/>
  <c r="AV114" i="3"/>
  <c r="AU114" i="3"/>
  <c r="AT114" i="3"/>
  <c r="AS114" i="3"/>
  <c r="AR114" i="3"/>
  <c r="AQ114" i="3"/>
  <c r="AP114" i="3"/>
  <c r="AO114" i="3"/>
  <c r="AN114" i="3"/>
  <c r="AM114" i="3"/>
  <c r="AL114" i="3"/>
  <c r="AK114" i="3"/>
  <c r="AJ114" i="3"/>
  <c r="AI114" i="3"/>
  <c r="AH114" i="3"/>
  <c r="AG114" i="3"/>
  <c r="AF114" i="3"/>
  <c r="AE114" i="3"/>
  <c r="AD114" i="3"/>
  <c r="AC114" i="3"/>
  <c r="AB114" i="3"/>
  <c r="AA114" i="3"/>
  <c r="Z114" i="3"/>
  <c r="Y114" i="3"/>
  <c r="X114" i="3"/>
  <c r="W114" i="3"/>
  <c r="V114" i="3"/>
  <c r="U114" i="3"/>
  <c r="T114" i="3"/>
  <c r="S114" i="3"/>
  <c r="D114" i="3"/>
  <c r="C114" i="3"/>
  <c r="B114" i="3"/>
  <c r="EL113" i="3"/>
  <c r="EK113" i="3"/>
  <c r="EJ113" i="3"/>
  <c r="EI113" i="3"/>
  <c r="EH113" i="3"/>
  <c r="EG113" i="3"/>
  <c r="EF113" i="3"/>
  <c r="EE113" i="3"/>
  <c r="ED113" i="3"/>
  <c r="EC113" i="3"/>
  <c r="EB113" i="3"/>
  <c r="EA113" i="3"/>
  <c r="DZ113" i="3"/>
  <c r="DY113" i="3"/>
  <c r="DX113" i="3"/>
  <c r="DW113" i="3"/>
  <c r="DV113" i="3"/>
  <c r="DU113" i="3"/>
  <c r="DT113" i="3"/>
  <c r="DS113" i="3"/>
  <c r="DR113" i="3"/>
  <c r="DQ113" i="3"/>
  <c r="DP113" i="3"/>
  <c r="DO113" i="3"/>
  <c r="DN113" i="3"/>
  <c r="DM113" i="3"/>
  <c r="DL113" i="3"/>
  <c r="DK113" i="3"/>
  <c r="DJ113" i="3"/>
  <c r="DI113" i="3"/>
  <c r="DH113" i="3"/>
  <c r="DG113" i="3"/>
  <c r="DF113" i="3"/>
  <c r="DE113" i="3"/>
  <c r="DD113" i="3"/>
  <c r="DC113" i="3"/>
  <c r="DB113" i="3"/>
  <c r="DA113" i="3"/>
  <c r="CZ113" i="3"/>
  <c r="CY113" i="3"/>
  <c r="CX113" i="3"/>
  <c r="CW113" i="3"/>
  <c r="CV113" i="3"/>
  <c r="CU113" i="3"/>
  <c r="CT113" i="3"/>
  <c r="CS113" i="3"/>
  <c r="CR113" i="3"/>
  <c r="CQ113" i="3"/>
  <c r="CP113" i="3"/>
  <c r="CO113" i="3"/>
  <c r="CN113" i="3"/>
  <c r="CM113" i="3"/>
  <c r="CL113" i="3"/>
  <c r="CK113" i="3"/>
  <c r="CJ113" i="3"/>
  <c r="CI113" i="3"/>
  <c r="CH113" i="3"/>
  <c r="CG113" i="3"/>
  <c r="CF113" i="3"/>
  <c r="CE113" i="3"/>
  <c r="CD113" i="3"/>
  <c r="CC113" i="3"/>
  <c r="CB113" i="3"/>
  <c r="CA113" i="3"/>
  <c r="BZ113" i="3"/>
  <c r="BY113" i="3"/>
  <c r="BX113" i="3"/>
  <c r="BW113" i="3"/>
  <c r="BV113" i="3"/>
  <c r="BU113" i="3"/>
  <c r="BT113" i="3"/>
  <c r="BS113" i="3"/>
  <c r="BR113" i="3"/>
  <c r="BQ113" i="3"/>
  <c r="BP113" i="3"/>
  <c r="BO113" i="3"/>
  <c r="BN113" i="3"/>
  <c r="BM113" i="3"/>
  <c r="BL113" i="3"/>
  <c r="BK113" i="3"/>
  <c r="BJ113" i="3"/>
  <c r="BI113" i="3"/>
  <c r="BH113" i="3"/>
  <c r="BG113" i="3"/>
  <c r="BF113" i="3"/>
  <c r="BE113" i="3"/>
  <c r="BD113" i="3"/>
  <c r="BC113" i="3"/>
  <c r="BB113" i="3"/>
  <c r="BA113" i="3"/>
  <c r="AZ113" i="3"/>
  <c r="AY113" i="3"/>
  <c r="AX113" i="3"/>
  <c r="AW113" i="3"/>
  <c r="AV113" i="3"/>
  <c r="AU113" i="3"/>
  <c r="AT113" i="3"/>
  <c r="AS113" i="3"/>
  <c r="AR113" i="3"/>
  <c r="AQ113" i="3"/>
  <c r="AP113" i="3"/>
  <c r="AO113" i="3"/>
  <c r="AN113" i="3"/>
  <c r="AM113" i="3"/>
  <c r="AL113" i="3"/>
  <c r="AK113" i="3"/>
  <c r="AJ113" i="3"/>
  <c r="AI113" i="3"/>
  <c r="AH113" i="3"/>
  <c r="AG113" i="3"/>
  <c r="AF113" i="3"/>
  <c r="AE113" i="3"/>
  <c r="AD113" i="3"/>
  <c r="AC113" i="3"/>
  <c r="AB113" i="3"/>
  <c r="AA113" i="3"/>
  <c r="Z113" i="3"/>
  <c r="Y113" i="3"/>
  <c r="X113" i="3"/>
  <c r="W113" i="3"/>
  <c r="V113" i="3"/>
  <c r="U113" i="3"/>
  <c r="T113" i="3"/>
  <c r="S113" i="3"/>
  <c r="D113" i="3"/>
  <c r="C113" i="3"/>
  <c r="B113" i="3"/>
  <c r="EL112" i="3"/>
  <c r="EK112" i="3"/>
  <c r="EJ112" i="3"/>
  <c r="EI112" i="3"/>
  <c r="EH112" i="3"/>
  <c r="EG112" i="3"/>
  <c r="EF112" i="3"/>
  <c r="EE112" i="3"/>
  <c r="ED112" i="3"/>
  <c r="EC112" i="3"/>
  <c r="EB112" i="3"/>
  <c r="EA112" i="3"/>
  <c r="DZ112" i="3"/>
  <c r="DY112" i="3"/>
  <c r="DX112" i="3"/>
  <c r="DW112" i="3"/>
  <c r="DV112" i="3"/>
  <c r="DU112" i="3"/>
  <c r="DT112" i="3"/>
  <c r="DS112" i="3"/>
  <c r="DR112" i="3"/>
  <c r="DQ112" i="3"/>
  <c r="DP112" i="3"/>
  <c r="DO112" i="3"/>
  <c r="DN112" i="3"/>
  <c r="DM112" i="3"/>
  <c r="DL112" i="3"/>
  <c r="DK112" i="3"/>
  <c r="DJ112" i="3"/>
  <c r="DI112" i="3"/>
  <c r="DH112" i="3"/>
  <c r="DG112" i="3"/>
  <c r="DF112" i="3"/>
  <c r="DE112" i="3"/>
  <c r="DD112" i="3"/>
  <c r="DC112" i="3"/>
  <c r="DB112" i="3"/>
  <c r="DA112" i="3"/>
  <c r="CZ112" i="3"/>
  <c r="CY112" i="3"/>
  <c r="CX112" i="3"/>
  <c r="CW112" i="3"/>
  <c r="CV112" i="3"/>
  <c r="CU112" i="3"/>
  <c r="CT112" i="3"/>
  <c r="CS112" i="3"/>
  <c r="CR112" i="3"/>
  <c r="CQ112" i="3"/>
  <c r="CP112" i="3"/>
  <c r="CO112" i="3"/>
  <c r="CN112" i="3"/>
  <c r="CM112" i="3"/>
  <c r="CL112" i="3"/>
  <c r="CK112" i="3"/>
  <c r="CJ112" i="3"/>
  <c r="CI112" i="3"/>
  <c r="CH112" i="3"/>
  <c r="CG112" i="3"/>
  <c r="CF112" i="3"/>
  <c r="CE112" i="3"/>
  <c r="CD112" i="3"/>
  <c r="CC112" i="3"/>
  <c r="CB112" i="3"/>
  <c r="CA112" i="3"/>
  <c r="BZ112" i="3"/>
  <c r="BY112" i="3"/>
  <c r="BX112" i="3"/>
  <c r="BW112" i="3"/>
  <c r="BV112" i="3"/>
  <c r="BU112" i="3"/>
  <c r="BT112" i="3"/>
  <c r="BS112" i="3"/>
  <c r="BR112" i="3"/>
  <c r="BQ112" i="3"/>
  <c r="BP112" i="3"/>
  <c r="BO112" i="3"/>
  <c r="BN112" i="3"/>
  <c r="BM112" i="3"/>
  <c r="BL112" i="3"/>
  <c r="BK112" i="3"/>
  <c r="BJ112" i="3"/>
  <c r="BI112" i="3"/>
  <c r="BH112" i="3"/>
  <c r="BG112" i="3"/>
  <c r="BF112" i="3"/>
  <c r="BE112" i="3"/>
  <c r="BD112" i="3"/>
  <c r="BC112" i="3"/>
  <c r="BB112" i="3"/>
  <c r="BA112" i="3"/>
  <c r="AZ112" i="3"/>
  <c r="AY112" i="3"/>
  <c r="AX112" i="3"/>
  <c r="AW112" i="3"/>
  <c r="AV112" i="3"/>
  <c r="AU112" i="3"/>
  <c r="AT112" i="3"/>
  <c r="AS112" i="3"/>
  <c r="AR112" i="3"/>
  <c r="AQ112" i="3"/>
  <c r="AP112" i="3"/>
  <c r="AO112" i="3"/>
  <c r="AN112" i="3"/>
  <c r="AM112" i="3"/>
  <c r="AL112" i="3"/>
  <c r="AK112" i="3"/>
  <c r="AJ112" i="3"/>
  <c r="AI112" i="3"/>
  <c r="AH112" i="3"/>
  <c r="AG112" i="3"/>
  <c r="AF112" i="3"/>
  <c r="AE112" i="3"/>
  <c r="AD112" i="3"/>
  <c r="AC112" i="3"/>
  <c r="AB112" i="3"/>
  <c r="AA112" i="3"/>
  <c r="Z112" i="3"/>
  <c r="Y112" i="3"/>
  <c r="X112" i="3"/>
  <c r="W112" i="3"/>
  <c r="V112" i="3"/>
  <c r="U112" i="3"/>
  <c r="T112" i="3"/>
  <c r="S112" i="3"/>
  <c r="D112" i="3"/>
  <c r="C112" i="3"/>
  <c r="B112" i="3"/>
  <c r="EL111" i="3"/>
  <c r="EK111" i="3"/>
  <c r="EJ111" i="3"/>
  <c r="EI111" i="3"/>
  <c r="EH111" i="3"/>
  <c r="EG111" i="3"/>
  <c r="EF111" i="3"/>
  <c r="EE111" i="3"/>
  <c r="ED111" i="3"/>
  <c r="EC111" i="3"/>
  <c r="EB111" i="3"/>
  <c r="EA111" i="3"/>
  <c r="DZ111" i="3"/>
  <c r="DY111" i="3"/>
  <c r="DX111" i="3"/>
  <c r="DW111" i="3"/>
  <c r="DV111" i="3"/>
  <c r="DU111" i="3"/>
  <c r="DT111" i="3"/>
  <c r="DS111" i="3"/>
  <c r="DR111" i="3"/>
  <c r="DQ111" i="3"/>
  <c r="DP111" i="3"/>
  <c r="DO111" i="3"/>
  <c r="DN111" i="3"/>
  <c r="DM111" i="3"/>
  <c r="DL111" i="3"/>
  <c r="DK111" i="3"/>
  <c r="DJ111" i="3"/>
  <c r="DI111" i="3"/>
  <c r="DH111" i="3"/>
  <c r="DG111" i="3"/>
  <c r="DF111" i="3"/>
  <c r="DE111" i="3"/>
  <c r="DD111" i="3"/>
  <c r="DC111" i="3"/>
  <c r="DB111" i="3"/>
  <c r="DA111" i="3"/>
  <c r="CZ111" i="3"/>
  <c r="CY111" i="3"/>
  <c r="CX111" i="3"/>
  <c r="CW111" i="3"/>
  <c r="CV111" i="3"/>
  <c r="CU111" i="3"/>
  <c r="CT111" i="3"/>
  <c r="CS111" i="3"/>
  <c r="CR111" i="3"/>
  <c r="CQ111" i="3"/>
  <c r="CP111" i="3"/>
  <c r="CO111" i="3"/>
  <c r="CN111" i="3"/>
  <c r="CM111" i="3"/>
  <c r="CL111" i="3"/>
  <c r="CK111" i="3"/>
  <c r="CJ111" i="3"/>
  <c r="CI111" i="3"/>
  <c r="CH111" i="3"/>
  <c r="CG111" i="3"/>
  <c r="CF111" i="3"/>
  <c r="CE111" i="3"/>
  <c r="CD111" i="3"/>
  <c r="CC111" i="3"/>
  <c r="CB111" i="3"/>
  <c r="CA111" i="3"/>
  <c r="BZ111" i="3"/>
  <c r="BY111" i="3"/>
  <c r="BX111" i="3"/>
  <c r="BW111" i="3"/>
  <c r="BV111" i="3"/>
  <c r="BU111" i="3"/>
  <c r="BT111" i="3"/>
  <c r="BS111" i="3"/>
  <c r="BR111" i="3"/>
  <c r="BQ111" i="3"/>
  <c r="BP111" i="3"/>
  <c r="BO111" i="3"/>
  <c r="BN111" i="3"/>
  <c r="BM111" i="3"/>
  <c r="BL111" i="3"/>
  <c r="BK111" i="3"/>
  <c r="BJ111" i="3"/>
  <c r="BI111" i="3"/>
  <c r="BH111" i="3"/>
  <c r="BG111" i="3"/>
  <c r="BF111" i="3"/>
  <c r="BE111" i="3"/>
  <c r="BD111" i="3"/>
  <c r="BC111" i="3"/>
  <c r="BB111" i="3"/>
  <c r="BA111" i="3"/>
  <c r="AZ111" i="3"/>
  <c r="AY111" i="3"/>
  <c r="AX111" i="3"/>
  <c r="AW111" i="3"/>
  <c r="AV111" i="3"/>
  <c r="AU111" i="3"/>
  <c r="AT111" i="3"/>
  <c r="AS111" i="3"/>
  <c r="AR111" i="3"/>
  <c r="AQ111" i="3"/>
  <c r="AP111" i="3"/>
  <c r="AO111" i="3"/>
  <c r="AN111" i="3"/>
  <c r="AM111" i="3"/>
  <c r="AL111" i="3"/>
  <c r="AK111" i="3"/>
  <c r="AJ111" i="3"/>
  <c r="AI111" i="3"/>
  <c r="AH111" i="3"/>
  <c r="AG111" i="3"/>
  <c r="AF111" i="3"/>
  <c r="AE111" i="3"/>
  <c r="AD111" i="3"/>
  <c r="AC111" i="3"/>
  <c r="AB111" i="3"/>
  <c r="AA111" i="3"/>
  <c r="Z111" i="3"/>
  <c r="Y111" i="3"/>
  <c r="X111" i="3"/>
  <c r="W111" i="3"/>
  <c r="V111" i="3"/>
  <c r="U111" i="3"/>
  <c r="T111" i="3"/>
  <c r="S111" i="3"/>
  <c r="D111" i="3"/>
  <c r="C111" i="3"/>
  <c r="B111" i="3"/>
  <c r="EL110" i="3"/>
  <c r="EK110" i="3"/>
  <c r="EJ110" i="3"/>
  <c r="EI110" i="3"/>
  <c r="EH110" i="3"/>
  <c r="EG110" i="3"/>
  <c r="EF110" i="3"/>
  <c r="EE110" i="3"/>
  <c r="ED110" i="3"/>
  <c r="EC110" i="3"/>
  <c r="EB110" i="3"/>
  <c r="EA110" i="3"/>
  <c r="DZ110" i="3"/>
  <c r="DY110" i="3"/>
  <c r="DX110" i="3"/>
  <c r="DW110" i="3"/>
  <c r="DV110" i="3"/>
  <c r="DU110" i="3"/>
  <c r="DT110" i="3"/>
  <c r="DS110" i="3"/>
  <c r="DR110" i="3"/>
  <c r="DQ110" i="3"/>
  <c r="DP110" i="3"/>
  <c r="DO110" i="3"/>
  <c r="DN110" i="3"/>
  <c r="DM110" i="3"/>
  <c r="DL110" i="3"/>
  <c r="DK110" i="3"/>
  <c r="DJ110" i="3"/>
  <c r="DI110" i="3"/>
  <c r="DH110" i="3"/>
  <c r="DG110" i="3"/>
  <c r="DF110" i="3"/>
  <c r="DE110" i="3"/>
  <c r="DD110" i="3"/>
  <c r="DC110" i="3"/>
  <c r="DB110" i="3"/>
  <c r="DA110" i="3"/>
  <c r="CZ110" i="3"/>
  <c r="CY110" i="3"/>
  <c r="CX110" i="3"/>
  <c r="CW110" i="3"/>
  <c r="CV110" i="3"/>
  <c r="CU110" i="3"/>
  <c r="CT110" i="3"/>
  <c r="CS110" i="3"/>
  <c r="CR110" i="3"/>
  <c r="CQ110" i="3"/>
  <c r="CP110" i="3"/>
  <c r="CO110" i="3"/>
  <c r="CN110" i="3"/>
  <c r="CM110" i="3"/>
  <c r="CL110" i="3"/>
  <c r="CK110" i="3"/>
  <c r="CJ110" i="3"/>
  <c r="CI110" i="3"/>
  <c r="CH110" i="3"/>
  <c r="CG110" i="3"/>
  <c r="CF110" i="3"/>
  <c r="CE110" i="3"/>
  <c r="CD110" i="3"/>
  <c r="CC110" i="3"/>
  <c r="CB110" i="3"/>
  <c r="CA110" i="3"/>
  <c r="BZ110" i="3"/>
  <c r="BY110" i="3"/>
  <c r="BX110" i="3"/>
  <c r="BW110" i="3"/>
  <c r="BV110" i="3"/>
  <c r="BU110" i="3"/>
  <c r="BT110" i="3"/>
  <c r="BS110" i="3"/>
  <c r="BR110" i="3"/>
  <c r="BQ110" i="3"/>
  <c r="BP110" i="3"/>
  <c r="BO110" i="3"/>
  <c r="BN110" i="3"/>
  <c r="BM110" i="3"/>
  <c r="BL110" i="3"/>
  <c r="BK110" i="3"/>
  <c r="BJ110" i="3"/>
  <c r="BI110" i="3"/>
  <c r="BH110" i="3"/>
  <c r="BG110" i="3"/>
  <c r="BF110" i="3"/>
  <c r="BE110" i="3"/>
  <c r="BD110" i="3"/>
  <c r="BC110" i="3"/>
  <c r="BB110" i="3"/>
  <c r="BA110" i="3"/>
  <c r="AZ110" i="3"/>
  <c r="AY110" i="3"/>
  <c r="AX110" i="3"/>
  <c r="AW110" i="3"/>
  <c r="AV110" i="3"/>
  <c r="AU110" i="3"/>
  <c r="AT110" i="3"/>
  <c r="AS110" i="3"/>
  <c r="AR110" i="3"/>
  <c r="AQ110" i="3"/>
  <c r="AP110" i="3"/>
  <c r="AO110" i="3"/>
  <c r="AN110" i="3"/>
  <c r="AM110" i="3"/>
  <c r="AL110" i="3"/>
  <c r="AK110" i="3"/>
  <c r="AJ110" i="3"/>
  <c r="AI110" i="3"/>
  <c r="AH110" i="3"/>
  <c r="AG110" i="3"/>
  <c r="AF110" i="3"/>
  <c r="AE110" i="3"/>
  <c r="AD110" i="3"/>
  <c r="AC110" i="3"/>
  <c r="AB110" i="3"/>
  <c r="AA110" i="3"/>
  <c r="Z110" i="3"/>
  <c r="Y110" i="3"/>
  <c r="X110" i="3"/>
  <c r="W110" i="3"/>
  <c r="V110" i="3"/>
  <c r="U110" i="3"/>
  <c r="T110" i="3"/>
  <c r="S110" i="3"/>
  <c r="D110" i="3"/>
  <c r="C110" i="3"/>
  <c r="B110" i="3"/>
  <c r="EL109" i="3"/>
  <c r="EK109" i="3"/>
  <c r="EJ109" i="3"/>
  <c r="EI109" i="3"/>
  <c r="EH109" i="3"/>
  <c r="EG109" i="3"/>
  <c r="EF109" i="3"/>
  <c r="EE109" i="3"/>
  <c r="ED109" i="3"/>
  <c r="EC109" i="3"/>
  <c r="EB109" i="3"/>
  <c r="EA109" i="3"/>
  <c r="DZ109" i="3"/>
  <c r="DY109" i="3"/>
  <c r="DX109" i="3"/>
  <c r="DW109" i="3"/>
  <c r="DV109" i="3"/>
  <c r="DU109" i="3"/>
  <c r="DT109" i="3"/>
  <c r="DS109" i="3"/>
  <c r="DR109" i="3"/>
  <c r="DQ109" i="3"/>
  <c r="DP109" i="3"/>
  <c r="DO109" i="3"/>
  <c r="DN109" i="3"/>
  <c r="DM109" i="3"/>
  <c r="DL109" i="3"/>
  <c r="DK109" i="3"/>
  <c r="DJ109" i="3"/>
  <c r="DI109" i="3"/>
  <c r="DH109" i="3"/>
  <c r="DG109" i="3"/>
  <c r="DF109" i="3"/>
  <c r="DE109" i="3"/>
  <c r="DD109" i="3"/>
  <c r="DC109" i="3"/>
  <c r="DB109" i="3"/>
  <c r="DA109" i="3"/>
  <c r="CZ109" i="3"/>
  <c r="CY109" i="3"/>
  <c r="CX109" i="3"/>
  <c r="CW109" i="3"/>
  <c r="CV109" i="3"/>
  <c r="CU109" i="3"/>
  <c r="CT109" i="3"/>
  <c r="CS109" i="3"/>
  <c r="CR109" i="3"/>
  <c r="CQ109" i="3"/>
  <c r="CP109" i="3"/>
  <c r="CO109" i="3"/>
  <c r="CN109" i="3"/>
  <c r="CM109" i="3"/>
  <c r="CL109" i="3"/>
  <c r="CK109" i="3"/>
  <c r="CJ109" i="3"/>
  <c r="CI109" i="3"/>
  <c r="CH109" i="3"/>
  <c r="CG109" i="3"/>
  <c r="CF109" i="3"/>
  <c r="CE109" i="3"/>
  <c r="CD109" i="3"/>
  <c r="CC109" i="3"/>
  <c r="CB109" i="3"/>
  <c r="CA109" i="3"/>
  <c r="BZ109" i="3"/>
  <c r="BY109" i="3"/>
  <c r="BX109" i="3"/>
  <c r="BW109" i="3"/>
  <c r="BV109" i="3"/>
  <c r="BU109" i="3"/>
  <c r="BT109" i="3"/>
  <c r="BS109" i="3"/>
  <c r="BR109" i="3"/>
  <c r="BQ109" i="3"/>
  <c r="BP109" i="3"/>
  <c r="BO109" i="3"/>
  <c r="BN109" i="3"/>
  <c r="BM109" i="3"/>
  <c r="BL109" i="3"/>
  <c r="BK109" i="3"/>
  <c r="BJ109" i="3"/>
  <c r="BI109" i="3"/>
  <c r="BH109" i="3"/>
  <c r="BG109" i="3"/>
  <c r="BF109" i="3"/>
  <c r="BE109" i="3"/>
  <c r="BD109" i="3"/>
  <c r="BC109" i="3"/>
  <c r="BB109" i="3"/>
  <c r="BA109" i="3"/>
  <c r="AZ109" i="3"/>
  <c r="AY109" i="3"/>
  <c r="AX109" i="3"/>
  <c r="AW109" i="3"/>
  <c r="AV109" i="3"/>
  <c r="AU109" i="3"/>
  <c r="AT109" i="3"/>
  <c r="AS109" i="3"/>
  <c r="AR109" i="3"/>
  <c r="AQ109" i="3"/>
  <c r="AP109" i="3"/>
  <c r="AO109" i="3"/>
  <c r="AN109" i="3"/>
  <c r="AM109" i="3"/>
  <c r="AL109" i="3"/>
  <c r="AK109" i="3"/>
  <c r="AJ109" i="3"/>
  <c r="AI109" i="3"/>
  <c r="AH109" i="3"/>
  <c r="AG109" i="3"/>
  <c r="AF109" i="3"/>
  <c r="AE109" i="3"/>
  <c r="AD109" i="3"/>
  <c r="AC109" i="3"/>
  <c r="AB109" i="3"/>
  <c r="AA109" i="3"/>
  <c r="Z109" i="3"/>
  <c r="Y109" i="3"/>
  <c r="X109" i="3"/>
  <c r="W109" i="3"/>
  <c r="V109" i="3"/>
  <c r="U109" i="3"/>
  <c r="T109" i="3"/>
  <c r="S109" i="3"/>
  <c r="D109" i="3"/>
  <c r="C109" i="3"/>
  <c r="B109" i="3"/>
  <c r="EL108" i="3"/>
  <c r="EK108" i="3"/>
  <c r="EJ108" i="3"/>
  <c r="EI108" i="3"/>
  <c r="EH108" i="3"/>
  <c r="EG108" i="3"/>
  <c r="EF108" i="3"/>
  <c r="EE108" i="3"/>
  <c r="ED108" i="3"/>
  <c r="EC108" i="3"/>
  <c r="EB108" i="3"/>
  <c r="EA108" i="3"/>
  <c r="DZ108" i="3"/>
  <c r="DY108" i="3"/>
  <c r="DX108" i="3"/>
  <c r="DW108" i="3"/>
  <c r="DV108" i="3"/>
  <c r="DU108" i="3"/>
  <c r="DT108" i="3"/>
  <c r="DS108" i="3"/>
  <c r="DR108" i="3"/>
  <c r="DQ108" i="3"/>
  <c r="DP108" i="3"/>
  <c r="DO108" i="3"/>
  <c r="DN108" i="3"/>
  <c r="DM108" i="3"/>
  <c r="DL108" i="3"/>
  <c r="DK108" i="3"/>
  <c r="DJ108" i="3"/>
  <c r="DI108" i="3"/>
  <c r="DH108" i="3"/>
  <c r="DG108" i="3"/>
  <c r="DF108" i="3"/>
  <c r="DE108" i="3"/>
  <c r="DD108" i="3"/>
  <c r="DC108" i="3"/>
  <c r="DB108" i="3"/>
  <c r="DA108" i="3"/>
  <c r="CZ108" i="3"/>
  <c r="CY108" i="3"/>
  <c r="CX108" i="3"/>
  <c r="CW108" i="3"/>
  <c r="CV108" i="3"/>
  <c r="CU108" i="3"/>
  <c r="CT108" i="3"/>
  <c r="CS108" i="3"/>
  <c r="CR108" i="3"/>
  <c r="CQ108" i="3"/>
  <c r="CP108" i="3"/>
  <c r="CO108" i="3"/>
  <c r="CN108" i="3"/>
  <c r="CM108" i="3"/>
  <c r="CL108" i="3"/>
  <c r="CK108" i="3"/>
  <c r="CJ108" i="3"/>
  <c r="CI108" i="3"/>
  <c r="CH108" i="3"/>
  <c r="CG108" i="3"/>
  <c r="CF108" i="3"/>
  <c r="CE108" i="3"/>
  <c r="CD108" i="3"/>
  <c r="CC108" i="3"/>
  <c r="CB108" i="3"/>
  <c r="CA108" i="3"/>
  <c r="BZ108" i="3"/>
  <c r="BY108" i="3"/>
  <c r="BX108" i="3"/>
  <c r="BW108" i="3"/>
  <c r="BV108" i="3"/>
  <c r="BU108" i="3"/>
  <c r="BT108" i="3"/>
  <c r="BS108" i="3"/>
  <c r="BR108" i="3"/>
  <c r="BQ108" i="3"/>
  <c r="BP108" i="3"/>
  <c r="BO108" i="3"/>
  <c r="BN108" i="3"/>
  <c r="BM108" i="3"/>
  <c r="BL108" i="3"/>
  <c r="BK108" i="3"/>
  <c r="BJ108" i="3"/>
  <c r="BI108" i="3"/>
  <c r="BH108" i="3"/>
  <c r="BG108" i="3"/>
  <c r="BF108" i="3"/>
  <c r="BE108" i="3"/>
  <c r="BD108" i="3"/>
  <c r="BC108" i="3"/>
  <c r="BB108" i="3"/>
  <c r="BA108" i="3"/>
  <c r="AZ108" i="3"/>
  <c r="AY108" i="3"/>
  <c r="AX108" i="3"/>
  <c r="AW108" i="3"/>
  <c r="AV108" i="3"/>
  <c r="AU108" i="3"/>
  <c r="AT108" i="3"/>
  <c r="AS108" i="3"/>
  <c r="AR108" i="3"/>
  <c r="AQ108" i="3"/>
  <c r="AP108" i="3"/>
  <c r="AO108" i="3"/>
  <c r="AN108" i="3"/>
  <c r="AM108" i="3"/>
  <c r="AL108" i="3"/>
  <c r="AK108" i="3"/>
  <c r="AJ108" i="3"/>
  <c r="AI108" i="3"/>
  <c r="AH108" i="3"/>
  <c r="AG108" i="3"/>
  <c r="AF108" i="3"/>
  <c r="AE108" i="3"/>
  <c r="AD108" i="3"/>
  <c r="AC108" i="3"/>
  <c r="AB108" i="3"/>
  <c r="AA108" i="3"/>
  <c r="Z108" i="3"/>
  <c r="Y108" i="3"/>
  <c r="X108" i="3"/>
  <c r="W108" i="3"/>
  <c r="V108" i="3"/>
  <c r="U108" i="3"/>
  <c r="T108" i="3"/>
  <c r="S108" i="3"/>
  <c r="D108" i="3"/>
  <c r="C108" i="3"/>
  <c r="B108" i="3"/>
  <c r="EL107" i="3"/>
  <c r="EK107" i="3"/>
  <c r="EJ107" i="3"/>
  <c r="EI107" i="3"/>
  <c r="EH107" i="3"/>
  <c r="EG107" i="3"/>
  <c r="EF107" i="3"/>
  <c r="EE107" i="3"/>
  <c r="ED107" i="3"/>
  <c r="EC107" i="3"/>
  <c r="EB107" i="3"/>
  <c r="EA107" i="3"/>
  <c r="DZ107" i="3"/>
  <c r="DY107" i="3"/>
  <c r="DX107" i="3"/>
  <c r="DW107" i="3"/>
  <c r="DV107" i="3"/>
  <c r="DU107" i="3"/>
  <c r="DT107" i="3"/>
  <c r="DS107" i="3"/>
  <c r="DR107" i="3"/>
  <c r="DQ107" i="3"/>
  <c r="DP107" i="3"/>
  <c r="DO107" i="3"/>
  <c r="DN107" i="3"/>
  <c r="DM107" i="3"/>
  <c r="DL107" i="3"/>
  <c r="DK107" i="3"/>
  <c r="DJ107" i="3"/>
  <c r="DI107" i="3"/>
  <c r="DH107" i="3"/>
  <c r="DG107" i="3"/>
  <c r="DF107" i="3"/>
  <c r="DE107" i="3"/>
  <c r="DD107" i="3"/>
  <c r="DC107" i="3"/>
  <c r="DB107" i="3"/>
  <c r="DA107" i="3"/>
  <c r="CZ107" i="3"/>
  <c r="CY107" i="3"/>
  <c r="CX107" i="3"/>
  <c r="CW107" i="3"/>
  <c r="CV107" i="3"/>
  <c r="CU107" i="3"/>
  <c r="CT107" i="3"/>
  <c r="CS107" i="3"/>
  <c r="CR107" i="3"/>
  <c r="CQ107" i="3"/>
  <c r="CP107" i="3"/>
  <c r="CO107" i="3"/>
  <c r="CN107" i="3"/>
  <c r="CM107" i="3"/>
  <c r="CL107" i="3"/>
  <c r="CK107" i="3"/>
  <c r="CJ107" i="3"/>
  <c r="CI107" i="3"/>
  <c r="CH107" i="3"/>
  <c r="CG107" i="3"/>
  <c r="CF107" i="3"/>
  <c r="CE107" i="3"/>
  <c r="CD107" i="3"/>
  <c r="CC107" i="3"/>
  <c r="CB107" i="3"/>
  <c r="CA107" i="3"/>
  <c r="BZ107" i="3"/>
  <c r="BY107" i="3"/>
  <c r="BX107" i="3"/>
  <c r="BW107" i="3"/>
  <c r="BV107" i="3"/>
  <c r="BU107" i="3"/>
  <c r="BT107" i="3"/>
  <c r="BS107" i="3"/>
  <c r="BR107" i="3"/>
  <c r="BQ107" i="3"/>
  <c r="BP107" i="3"/>
  <c r="BO107" i="3"/>
  <c r="BN107" i="3"/>
  <c r="BM107" i="3"/>
  <c r="BL107" i="3"/>
  <c r="BK107" i="3"/>
  <c r="BJ107" i="3"/>
  <c r="BI107" i="3"/>
  <c r="BH107" i="3"/>
  <c r="BG107" i="3"/>
  <c r="BF107" i="3"/>
  <c r="BE107" i="3"/>
  <c r="BD107" i="3"/>
  <c r="BC107" i="3"/>
  <c r="BB107" i="3"/>
  <c r="BA107" i="3"/>
  <c r="AZ107" i="3"/>
  <c r="AY107" i="3"/>
  <c r="AX107" i="3"/>
  <c r="AW107" i="3"/>
  <c r="AV107" i="3"/>
  <c r="AU107" i="3"/>
  <c r="AT107" i="3"/>
  <c r="AS107" i="3"/>
  <c r="AR107" i="3"/>
  <c r="AQ107" i="3"/>
  <c r="AP107" i="3"/>
  <c r="AO107" i="3"/>
  <c r="AN107" i="3"/>
  <c r="AM107" i="3"/>
  <c r="AL107" i="3"/>
  <c r="AK107" i="3"/>
  <c r="AJ107" i="3"/>
  <c r="AI107" i="3"/>
  <c r="AH107" i="3"/>
  <c r="AG107" i="3"/>
  <c r="AF107" i="3"/>
  <c r="AE107" i="3"/>
  <c r="AD107" i="3"/>
  <c r="AC107" i="3"/>
  <c r="AB107" i="3"/>
  <c r="AA107" i="3"/>
  <c r="Z107" i="3"/>
  <c r="Y107" i="3"/>
  <c r="X107" i="3"/>
  <c r="W107" i="3"/>
  <c r="V107" i="3"/>
  <c r="U107" i="3"/>
  <c r="T107" i="3"/>
  <c r="S107" i="3"/>
  <c r="D107" i="3"/>
  <c r="C107" i="3"/>
  <c r="B107" i="3"/>
  <c r="EL106" i="3"/>
  <c r="EK106" i="3"/>
  <c r="EJ106" i="3"/>
  <c r="EI106" i="3"/>
  <c r="EH106" i="3"/>
  <c r="EG106" i="3"/>
  <c r="EF106" i="3"/>
  <c r="EE106" i="3"/>
  <c r="ED106" i="3"/>
  <c r="EC106" i="3"/>
  <c r="EB106" i="3"/>
  <c r="EA106" i="3"/>
  <c r="DZ106" i="3"/>
  <c r="DY106" i="3"/>
  <c r="DX106" i="3"/>
  <c r="DW106" i="3"/>
  <c r="DV106" i="3"/>
  <c r="DU106" i="3"/>
  <c r="DT106" i="3"/>
  <c r="DS106" i="3"/>
  <c r="DR106" i="3"/>
  <c r="DQ106" i="3"/>
  <c r="DP106" i="3"/>
  <c r="DO106" i="3"/>
  <c r="DN106" i="3"/>
  <c r="DM106" i="3"/>
  <c r="DL106" i="3"/>
  <c r="DK106" i="3"/>
  <c r="DJ106" i="3"/>
  <c r="DI106" i="3"/>
  <c r="DH106" i="3"/>
  <c r="DG106" i="3"/>
  <c r="DF106" i="3"/>
  <c r="DE106" i="3"/>
  <c r="DD106" i="3"/>
  <c r="DC106" i="3"/>
  <c r="DB106" i="3"/>
  <c r="DA106" i="3"/>
  <c r="CZ106" i="3"/>
  <c r="CY106" i="3"/>
  <c r="CX106" i="3"/>
  <c r="CW106" i="3"/>
  <c r="CV106" i="3"/>
  <c r="CU106" i="3"/>
  <c r="CT106" i="3"/>
  <c r="CS106" i="3"/>
  <c r="CR106" i="3"/>
  <c r="CQ106" i="3"/>
  <c r="CP106" i="3"/>
  <c r="CO106" i="3"/>
  <c r="CN106" i="3"/>
  <c r="CM106" i="3"/>
  <c r="CL106" i="3"/>
  <c r="CK106" i="3"/>
  <c r="CJ106" i="3"/>
  <c r="CI106" i="3"/>
  <c r="CH106" i="3"/>
  <c r="CG106" i="3"/>
  <c r="CF106" i="3"/>
  <c r="CE106" i="3"/>
  <c r="CD106" i="3"/>
  <c r="CC106" i="3"/>
  <c r="CB106" i="3"/>
  <c r="CA106" i="3"/>
  <c r="BZ106" i="3"/>
  <c r="BY106" i="3"/>
  <c r="BX106" i="3"/>
  <c r="BW106" i="3"/>
  <c r="BV106" i="3"/>
  <c r="BU106" i="3"/>
  <c r="BT106" i="3"/>
  <c r="BS106" i="3"/>
  <c r="BR106" i="3"/>
  <c r="BQ106" i="3"/>
  <c r="BP106" i="3"/>
  <c r="BO106" i="3"/>
  <c r="BN106" i="3"/>
  <c r="BM106" i="3"/>
  <c r="BL106" i="3"/>
  <c r="BK106" i="3"/>
  <c r="BJ106" i="3"/>
  <c r="BI106" i="3"/>
  <c r="BH106" i="3"/>
  <c r="BG106" i="3"/>
  <c r="BF106" i="3"/>
  <c r="BE106" i="3"/>
  <c r="BD106" i="3"/>
  <c r="BC106" i="3"/>
  <c r="BB106" i="3"/>
  <c r="BA106" i="3"/>
  <c r="AZ106" i="3"/>
  <c r="AY106" i="3"/>
  <c r="AX106" i="3"/>
  <c r="AW106" i="3"/>
  <c r="AV106" i="3"/>
  <c r="AU106" i="3"/>
  <c r="AT106" i="3"/>
  <c r="AS106" i="3"/>
  <c r="AR106" i="3"/>
  <c r="AQ106" i="3"/>
  <c r="AP106" i="3"/>
  <c r="AO106" i="3"/>
  <c r="AN106" i="3"/>
  <c r="AM106" i="3"/>
  <c r="AL106" i="3"/>
  <c r="AK106" i="3"/>
  <c r="AJ106" i="3"/>
  <c r="AI106" i="3"/>
  <c r="AH106" i="3"/>
  <c r="AG106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D106" i="3"/>
  <c r="C106" i="3"/>
  <c r="B106" i="3"/>
  <c r="EL105" i="3"/>
  <c r="EK105" i="3"/>
  <c r="EJ105" i="3"/>
  <c r="EI105" i="3"/>
  <c r="EH105" i="3"/>
  <c r="EG105" i="3"/>
  <c r="EF105" i="3"/>
  <c r="EE105" i="3"/>
  <c r="ED105" i="3"/>
  <c r="EC105" i="3"/>
  <c r="EB105" i="3"/>
  <c r="EA105" i="3"/>
  <c r="DZ105" i="3"/>
  <c r="DY105" i="3"/>
  <c r="DX105" i="3"/>
  <c r="DW105" i="3"/>
  <c r="DV105" i="3"/>
  <c r="DU105" i="3"/>
  <c r="DT105" i="3"/>
  <c r="DS105" i="3"/>
  <c r="DR105" i="3"/>
  <c r="DQ105" i="3"/>
  <c r="DP105" i="3"/>
  <c r="DO105" i="3"/>
  <c r="DN105" i="3"/>
  <c r="DM105" i="3"/>
  <c r="DL105" i="3"/>
  <c r="DK105" i="3"/>
  <c r="DJ105" i="3"/>
  <c r="DI105" i="3"/>
  <c r="DH105" i="3"/>
  <c r="DG105" i="3"/>
  <c r="DF105" i="3"/>
  <c r="DE105" i="3"/>
  <c r="DD105" i="3"/>
  <c r="DC105" i="3"/>
  <c r="DB105" i="3"/>
  <c r="DA105" i="3"/>
  <c r="CZ105" i="3"/>
  <c r="CY105" i="3"/>
  <c r="CX105" i="3"/>
  <c r="CW105" i="3"/>
  <c r="CV105" i="3"/>
  <c r="CU105" i="3"/>
  <c r="CT105" i="3"/>
  <c r="CS105" i="3"/>
  <c r="CR105" i="3"/>
  <c r="CQ105" i="3"/>
  <c r="CP105" i="3"/>
  <c r="CO105" i="3"/>
  <c r="CN105" i="3"/>
  <c r="CM105" i="3"/>
  <c r="CL105" i="3"/>
  <c r="CK105" i="3"/>
  <c r="CJ105" i="3"/>
  <c r="CI105" i="3"/>
  <c r="CH105" i="3"/>
  <c r="CG105" i="3"/>
  <c r="CF105" i="3"/>
  <c r="CE105" i="3"/>
  <c r="CD105" i="3"/>
  <c r="CC105" i="3"/>
  <c r="CB105" i="3"/>
  <c r="CA105" i="3"/>
  <c r="BZ105" i="3"/>
  <c r="BY105" i="3"/>
  <c r="BX105" i="3"/>
  <c r="BW105" i="3"/>
  <c r="BV105" i="3"/>
  <c r="BU105" i="3"/>
  <c r="BT105" i="3"/>
  <c r="BS105" i="3"/>
  <c r="BR105" i="3"/>
  <c r="BQ105" i="3"/>
  <c r="BP105" i="3"/>
  <c r="BO105" i="3"/>
  <c r="BN105" i="3"/>
  <c r="BM105" i="3"/>
  <c r="BL105" i="3"/>
  <c r="BK105" i="3"/>
  <c r="BJ105" i="3"/>
  <c r="BI105" i="3"/>
  <c r="BH105" i="3"/>
  <c r="BG105" i="3"/>
  <c r="BF105" i="3"/>
  <c r="BE105" i="3"/>
  <c r="BD105" i="3"/>
  <c r="BC105" i="3"/>
  <c r="BB105" i="3"/>
  <c r="BA105" i="3"/>
  <c r="AZ105" i="3"/>
  <c r="AY105" i="3"/>
  <c r="AX105" i="3"/>
  <c r="AW105" i="3"/>
  <c r="AV105" i="3"/>
  <c r="AU105" i="3"/>
  <c r="AT105" i="3"/>
  <c r="AS105" i="3"/>
  <c r="AR105" i="3"/>
  <c r="AQ105" i="3"/>
  <c r="AP105" i="3"/>
  <c r="AO105" i="3"/>
  <c r="AN105" i="3"/>
  <c r="AM105" i="3"/>
  <c r="AL105" i="3"/>
  <c r="AK105" i="3"/>
  <c r="AJ105" i="3"/>
  <c r="AI105" i="3"/>
  <c r="AH105" i="3"/>
  <c r="AG105" i="3"/>
  <c r="AF105" i="3"/>
  <c r="AE105" i="3"/>
  <c r="AD105" i="3"/>
  <c r="AC105" i="3"/>
  <c r="AB105" i="3"/>
  <c r="AA105" i="3"/>
  <c r="Z105" i="3"/>
  <c r="Y105" i="3"/>
  <c r="X105" i="3"/>
  <c r="W105" i="3"/>
  <c r="V105" i="3"/>
  <c r="U105" i="3"/>
  <c r="T105" i="3"/>
  <c r="S105" i="3"/>
  <c r="D105" i="3"/>
  <c r="C105" i="3"/>
  <c r="B105" i="3"/>
  <c r="EL104" i="3"/>
  <c r="EK104" i="3"/>
  <c r="EJ104" i="3"/>
  <c r="EI104" i="3"/>
  <c r="EH104" i="3"/>
  <c r="EG104" i="3"/>
  <c r="EF104" i="3"/>
  <c r="EE104" i="3"/>
  <c r="ED104" i="3"/>
  <c r="EC104" i="3"/>
  <c r="EB104" i="3"/>
  <c r="EA104" i="3"/>
  <c r="DZ104" i="3"/>
  <c r="DY104" i="3"/>
  <c r="DX104" i="3"/>
  <c r="DW104" i="3"/>
  <c r="DV104" i="3"/>
  <c r="DU104" i="3"/>
  <c r="DT104" i="3"/>
  <c r="DS104" i="3"/>
  <c r="DR104" i="3"/>
  <c r="DQ104" i="3"/>
  <c r="DP104" i="3"/>
  <c r="DO104" i="3"/>
  <c r="DN104" i="3"/>
  <c r="DM104" i="3"/>
  <c r="DL104" i="3"/>
  <c r="DK104" i="3"/>
  <c r="DJ104" i="3"/>
  <c r="DI104" i="3"/>
  <c r="DH104" i="3"/>
  <c r="DG104" i="3"/>
  <c r="DF104" i="3"/>
  <c r="DE104" i="3"/>
  <c r="DD104" i="3"/>
  <c r="DC104" i="3"/>
  <c r="DB104" i="3"/>
  <c r="DA104" i="3"/>
  <c r="CZ104" i="3"/>
  <c r="CY104" i="3"/>
  <c r="CX104" i="3"/>
  <c r="CW104" i="3"/>
  <c r="CV104" i="3"/>
  <c r="CU104" i="3"/>
  <c r="CT104" i="3"/>
  <c r="CS104" i="3"/>
  <c r="CR104" i="3"/>
  <c r="CQ104" i="3"/>
  <c r="CP104" i="3"/>
  <c r="CO104" i="3"/>
  <c r="CN104" i="3"/>
  <c r="CM104" i="3"/>
  <c r="CL104" i="3"/>
  <c r="CK104" i="3"/>
  <c r="CJ104" i="3"/>
  <c r="CI104" i="3"/>
  <c r="CH104" i="3"/>
  <c r="CG104" i="3"/>
  <c r="CF104" i="3"/>
  <c r="CE104" i="3"/>
  <c r="CD104" i="3"/>
  <c r="CC104" i="3"/>
  <c r="CB104" i="3"/>
  <c r="CA104" i="3"/>
  <c r="BZ104" i="3"/>
  <c r="BY104" i="3"/>
  <c r="BX104" i="3"/>
  <c r="BW104" i="3"/>
  <c r="BV104" i="3"/>
  <c r="BU104" i="3"/>
  <c r="BT104" i="3"/>
  <c r="BS104" i="3"/>
  <c r="BR104" i="3"/>
  <c r="BQ104" i="3"/>
  <c r="BP104" i="3"/>
  <c r="BO104" i="3"/>
  <c r="BN104" i="3"/>
  <c r="BM104" i="3"/>
  <c r="BL104" i="3"/>
  <c r="BK104" i="3"/>
  <c r="BJ104" i="3"/>
  <c r="BI104" i="3"/>
  <c r="BH104" i="3"/>
  <c r="BG104" i="3"/>
  <c r="BF104" i="3"/>
  <c r="BE104" i="3"/>
  <c r="BD104" i="3"/>
  <c r="BC104" i="3"/>
  <c r="BB104" i="3"/>
  <c r="BA104" i="3"/>
  <c r="AZ104" i="3"/>
  <c r="AY104" i="3"/>
  <c r="AX104" i="3"/>
  <c r="AW104" i="3"/>
  <c r="AV104" i="3"/>
  <c r="AU104" i="3"/>
  <c r="AT104" i="3"/>
  <c r="AS104" i="3"/>
  <c r="AR104" i="3"/>
  <c r="AQ104" i="3"/>
  <c r="AP104" i="3"/>
  <c r="AO104" i="3"/>
  <c r="AN104" i="3"/>
  <c r="AM104" i="3"/>
  <c r="AL104" i="3"/>
  <c r="AK104" i="3"/>
  <c r="AJ104" i="3"/>
  <c r="AI104" i="3"/>
  <c r="AH104" i="3"/>
  <c r="AG104" i="3"/>
  <c r="AF104" i="3"/>
  <c r="AE104" i="3"/>
  <c r="AD104" i="3"/>
  <c r="AC104" i="3"/>
  <c r="AB104" i="3"/>
  <c r="AA104" i="3"/>
  <c r="Z104" i="3"/>
  <c r="Y104" i="3"/>
  <c r="X104" i="3"/>
  <c r="W104" i="3"/>
  <c r="V104" i="3"/>
  <c r="U104" i="3"/>
  <c r="T104" i="3"/>
  <c r="S104" i="3"/>
  <c r="D104" i="3"/>
  <c r="C104" i="3"/>
  <c r="B104" i="3"/>
  <c r="EL103" i="3"/>
  <c r="EK103" i="3"/>
  <c r="EJ103" i="3"/>
  <c r="EI103" i="3"/>
  <c r="EH103" i="3"/>
  <c r="EG103" i="3"/>
  <c r="EF103" i="3"/>
  <c r="EE103" i="3"/>
  <c r="ED103" i="3"/>
  <c r="EC103" i="3"/>
  <c r="EB103" i="3"/>
  <c r="EA103" i="3"/>
  <c r="DZ103" i="3"/>
  <c r="DY103" i="3"/>
  <c r="DX103" i="3"/>
  <c r="DW103" i="3"/>
  <c r="DV103" i="3"/>
  <c r="DU103" i="3"/>
  <c r="DT103" i="3"/>
  <c r="DS103" i="3"/>
  <c r="DR103" i="3"/>
  <c r="DQ103" i="3"/>
  <c r="DP103" i="3"/>
  <c r="DO103" i="3"/>
  <c r="DN103" i="3"/>
  <c r="DM103" i="3"/>
  <c r="DL103" i="3"/>
  <c r="DK103" i="3"/>
  <c r="DJ103" i="3"/>
  <c r="DI103" i="3"/>
  <c r="DH103" i="3"/>
  <c r="DG103" i="3"/>
  <c r="DF103" i="3"/>
  <c r="DE103" i="3"/>
  <c r="DD103" i="3"/>
  <c r="DC103" i="3"/>
  <c r="DB103" i="3"/>
  <c r="DA103" i="3"/>
  <c r="CZ103" i="3"/>
  <c r="CY103" i="3"/>
  <c r="CX103" i="3"/>
  <c r="CW103" i="3"/>
  <c r="CV103" i="3"/>
  <c r="CU103" i="3"/>
  <c r="CT103" i="3"/>
  <c r="CS103" i="3"/>
  <c r="CR103" i="3"/>
  <c r="CQ103" i="3"/>
  <c r="CP103" i="3"/>
  <c r="CO103" i="3"/>
  <c r="CN103" i="3"/>
  <c r="CM103" i="3"/>
  <c r="CL103" i="3"/>
  <c r="CK103" i="3"/>
  <c r="CJ103" i="3"/>
  <c r="CI103" i="3"/>
  <c r="CH103" i="3"/>
  <c r="CG103" i="3"/>
  <c r="CF103" i="3"/>
  <c r="CE103" i="3"/>
  <c r="CD103" i="3"/>
  <c r="CC103" i="3"/>
  <c r="CB103" i="3"/>
  <c r="CA103" i="3"/>
  <c r="BZ103" i="3"/>
  <c r="BY103" i="3"/>
  <c r="BX103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D103" i="3"/>
  <c r="C103" i="3"/>
  <c r="B103" i="3"/>
  <c r="EL102" i="3"/>
  <c r="EK102" i="3"/>
  <c r="EJ102" i="3"/>
  <c r="EI102" i="3"/>
  <c r="EH102" i="3"/>
  <c r="EG102" i="3"/>
  <c r="EF102" i="3"/>
  <c r="EE102" i="3"/>
  <c r="ED102" i="3"/>
  <c r="EC102" i="3"/>
  <c r="EB102" i="3"/>
  <c r="EA102" i="3"/>
  <c r="DZ102" i="3"/>
  <c r="DY102" i="3"/>
  <c r="DX102" i="3"/>
  <c r="DW102" i="3"/>
  <c r="DV102" i="3"/>
  <c r="DU102" i="3"/>
  <c r="DT102" i="3"/>
  <c r="DS102" i="3"/>
  <c r="DR102" i="3"/>
  <c r="DQ102" i="3"/>
  <c r="DP102" i="3"/>
  <c r="DO102" i="3"/>
  <c r="DN102" i="3"/>
  <c r="DM102" i="3"/>
  <c r="DL102" i="3"/>
  <c r="DK102" i="3"/>
  <c r="DJ102" i="3"/>
  <c r="DI102" i="3"/>
  <c r="DH102" i="3"/>
  <c r="DG102" i="3"/>
  <c r="DF102" i="3"/>
  <c r="DE102" i="3"/>
  <c r="DD102" i="3"/>
  <c r="DC102" i="3"/>
  <c r="DB102" i="3"/>
  <c r="DA102" i="3"/>
  <c r="CZ102" i="3"/>
  <c r="CY102" i="3"/>
  <c r="CX102" i="3"/>
  <c r="CW102" i="3"/>
  <c r="CV102" i="3"/>
  <c r="CU102" i="3"/>
  <c r="CT102" i="3"/>
  <c r="CS102" i="3"/>
  <c r="CR102" i="3"/>
  <c r="CQ102" i="3"/>
  <c r="CP102" i="3"/>
  <c r="CO102" i="3"/>
  <c r="CN102" i="3"/>
  <c r="CM102" i="3"/>
  <c r="CL102" i="3"/>
  <c r="CK102" i="3"/>
  <c r="CJ102" i="3"/>
  <c r="CI102" i="3"/>
  <c r="CH102" i="3"/>
  <c r="CG102" i="3"/>
  <c r="CF102" i="3"/>
  <c r="CE102" i="3"/>
  <c r="CD102" i="3"/>
  <c r="CC102" i="3"/>
  <c r="CB102" i="3"/>
  <c r="CA102" i="3"/>
  <c r="BZ102" i="3"/>
  <c r="BY102" i="3"/>
  <c r="BX102" i="3"/>
  <c r="BW102" i="3"/>
  <c r="BV102" i="3"/>
  <c r="BU102" i="3"/>
  <c r="BT102" i="3"/>
  <c r="BS102" i="3"/>
  <c r="BR102" i="3"/>
  <c r="BQ102" i="3"/>
  <c r="BP102" i="3"/>
  <c r="BO102" i="3"/>
  <c r="BN102" i="3"/>
  <c r="BM102" i="3"/>
  <c r="BL102" i="3"/>
  <c r="BK102" i="3"/>
  <c r="BJ102" i="3"/>
  <c r="BI102" i="3"/>
  <c r="BH102" i="3"/>
  <c r="BG102" i="3"/>
  <c r="BF102" i="3"/>
  <c r="BE102" i="3"/>
  <c r="BD102" i="3"/>
  <c r="BC102" i="3"/>
  <c r="BB102" i="3"/>
  <c r="BA102" i="3"/>
  <c r="AZ102" i="3"/>
  <c r="AY102" i="3"/>
  <c r="AX102" i="3"/>
  <c r="AW102" i="3"/>
  <c r="AV102" i="3"/>
  <c r="AU102" i="3"/>
  <c r="AT102" i="3"/>
  <c r="AS102" i="3"/>
  <c r="AR102" i="3"/>
  <c r="AQ102" i="3"/>
  <c r="AP102" i="3"/>
  <c r="AO102" i="3"/>
  <c r="AN102" i="3"/>
  <c r="AM102" i="3"/>
  <c r="AL102" i="3"/>
  <c r="AK102" i="3"/>
  <c r="AJ102" i="3"/>
  <c r="AI102" i="3"/>
  <c r="AH102" i="3"/>
  <c r="AG102" i="3"/>
  <c r="AF102" i="3"/>
  <c r="AE102" i="3"/>
  <c r="AD102" i="3"/>
  <c r="AC102" i="3"/>
  <c r="AB102" i="3"/>
  <c r="AA102" i="3"/>
  <c r="Z102" i="3"/>
  <c r="Y102" i="3"/>
  <c r="X102" i="3"/>
  <c r="W102" i="3"/>
  <c r="V102" i="3"/>
  <c r="U102" i="3"/>
  <c r="T102" i="3"/>
  <c r="S102" i="3"/>
  <c r="D102" i="3"/>
  <c r="C102" i="3"/>
  <c r="B102" i="3"/>
  <c r="EL101" i="3"/>
  <c r="EK101" i="3"/>
  <c r="EJ101" i="3"/>
  <c r="EI101" i="3"/>
  <c r="EH101" i="3"/>
  <c r="EG101" i="3"/>
  <c r="EF101" i="3"/>
  <c r="EE101" i="3"/>
  <c r="ED101" i="3"/>
  <c r="EC101" i="3"/>
  <c r="EB101" i="3"/>
  <c r="EA101" i="3"/>
  <c r="DZ101" i="3"/>
  <c r="DY101" i="3"/>
  <c r="DX101" i="3"/>
  <c r="DW101" i="3"/>
  <c r="DV101" i="3"/>
  <c r="DU101" i="3"/>
  <c r="DT101" i="3"/>
  <c r="DS101" i="3"/>
  <c r="DR101" i="3"/>
  <c r="DQ101" i="3"/>
  <c r="DP101" i="3"/>
  <c r="DO101" i="3"/>
  <c r="DN101" i="3"/>
  <c r="DM101" i="3"/>
  <c r="DL101" i="3"/>
  <c r="DK101" i="3"/>
  <c r="DJ101" i="3"/>
  <c r="DI101" i="3"/>
  <c r="DH101" i="3"/>
  <c r="DG101" i="3"/>
  <c r="DF101" i="3"/>
  <c r="DE101" i="3"/>
  <c r="DD101" i="3"/>
  <c r="DC101" i="3"/>
  <c r="DB101" i="3"/>
  <c r="DA101" i="3"/>
  <c r="CZ101" i="3"/>
  <c r="CY101" i="3"/>
  <c r="CX101" i="3"/>
  <c r="CW101" i="3"/>
  <c r="CV101" i="3"/>
  <c r="CU101" i="3"/>
  <c r="CT101" i="3"/>
  <c r="CS101" i="3"/>
  <c r="CR101" i="3"/>
  <c r="CQ101" i="3"/>
  <c r="CP101" i="3"/>
  <c r="CO101" i="3"/>
  <c r="CN101" i="3"/>
  <c r="CM101" i="3"/>
  <c r="CL101" i="3"/>
  <c r="CK101" i="3"/>
  <c r="CJ101" i="3"/>
  <c r="CI101" i="3"/>
  <c r="CH101" i="3"/>
  <c r="CG101" i="3"/>
  <c r="CF101" i="3"/>
  <c r="CE101" i="3"/>
  <c r="CD101" i="3"/>
  <c r="CC101" i="3"/>
  <c r="CB101" i="3"/>
  <c r="CA101" i="3"/>
  <c r="BZ101" i="3"/>
  <c r="BY101" i="3"/>
  <c r="BX101" i="3"/>
  <c r="BW101" i="3"/>
  <c r="BV101" i="3"/>
  <c r="BU101" i="3"/>
  <c r="BT101" i="3"/>
  <c r="BS101" i="3"/>
  <c r="BR101" i="3"/>
  <c r="BQ101" i="3"/>
  <c r="BP101" i="3"/>
  <c r="BO101" i="3"/>
  <c r="BN101" i="3"/>
  <c r="BM101" i="3"/>
  <c r="BL101" i="3"/>
  <c r="BK101" i="3"/>
  <c r="BJ101" i="3"/>
  <c r="BI101" i="3"/>
  <c r="BH101" i="3"/>
  <c r="BG101" i="3"/>
  <c r="BF101" i="3"/>
  <c r="BE101" i="3"/>
  <c r="BD101" i="3"/>
  <c r="BC101" i="3"/>
  <c r="BB101" i="3"/>
  <c r="BA101" i="3"/>
  <c r="AZ101" i="3"/>
  <c r="AY101" i="3"/>
  <c r="AX101" i="3"/>
  <c r="AW101" i="3"/>
  <c r="AV101" i="3"/>
  <c r="AU101" i="3"/>
  <c r="AT101" i="3"/>
  <c r="AS101" i="3"/>
  <c r="AR101" i="3"/>
  <c r="AQ101" i="3"/>
  <c r="AP101" i="3"/>
  <c r="AO101" i="3"/>
  <c r="AN101" i="3"/>
  <c r="AM101" i="3"/>
  <c r="AL101" i="3"/>
  <c r="AK101" i="3"/>
  <c r="AJ101" i="3"/>
  <c r="AI101" i="3"/>
  <c r="AH101" i="3"/>
  <c r="AG101" i="3"/>
  <c r="AF101" i="3"/>
  <c r="AE101" i="3"/>
  <c r="AD101" i="3"/>
  <c r="AC101" i="3"/>
  <c r="AB101" i="3"/>
  <c r="AA101" i="3"/>
  <c r="Z101" i="3"/>
  <c r="Y101" i="3"/>
  <c r="X101" i="3"/>
  <c r="W101" i="3"/>
  <c r="V101" i="3"/>
  <c r="U101" i="3"/>
  <c r="T101" i="3"/>
  <c r="S101" i="3"/>
  <c r="D101" i="3"/>
  <c r="C101" i="3"/>
  <c r="B101" i="3"/>
  <c r="EL100" i="3"/>
  <c r="EK100" i="3"/>
  <c r="EJ100" i="3"/>
  <c r="EI100" i="3"/>
  <c r="EH100" i="3"/>
  <c r="EG100" i="3"/>
  <c r="EF100" i="3"/>
  <c r="EE100" i="3"/>
  <c r="ED100" i="3"/>
  <c r="EC100" i="3"/>
  <c r="EB100" i="3"/>
  <c r="EA100" i="3"/>
  <c r="DZ100" i="3"/>
  <c r="DY100" i="3"/>
  <c r="DX100" i="3"/>
  <c r="DW100" i="3"/>
  <c r="DV100" i="3"/>
  <c r="DU100" i="3"/>
  <c r="DT100" i="3"/>
  <c r="DS100" i="3"/>
  <c r="DR100" i="3"/>
  <c r="DQ100" i="3"/>
  <c r="DP100" i="3"/>
  <c r="DO100" i="3"/>
  <c r="DN100" i="3"/>
  <c r="DM100" i="3"/>
  <c r="DL100" i="3"/>
  <c r="DK100" i="3"/>
  <c r="DJ100" i="3"/>
  <c r="DI100" i="3"/>
  <c r="DH100" i="3"/>
  <c r="DG100" i="3"/>
  <c r="DF100" i="3"/>
  <c r="DE100" i="3"/>
  <c r="DD100" i="3"/>
  <c r="DC100" i="3"/>
  <c r="DB100" i="3"/>
  <c r="DA100" i="3"/>
  <c r="CZ100" i="3"/>
  <c r="CY100" i="3"/>
  <c r="CX100" i="3"/>
  <c r="CW100" i="3"/>
  <c r="CV100" i="3"/>
  <c r="CU100" i="3"/>
  <c r="CT100" i="3"/>
  <c r="CS100" i="3"/>
  <c r="CR100" i="3"/>
  <c r="CQ100" i="3"/>
  <c r="CP100" i="3"/>
  <c r="CO100" i="3"/>
  <c r="CN100" i="3"/>
  <c r="CM100" i="3"/>
  <c r="CL100" i="3"/>
  <c r="CK100" i="3"/>
  <c r="CJ100" i="3"/>
  <c r="CI100" i="3"/>
  <c r="CH100" i="3"/>
  <c r="CG100" i="3"/>
  <c r="CF100" i="3"/>
  <c r="CE100" i="3"/>
  <c r="CD100" i="3"/>
  <c r="CC100" i="3"/>
  <c r="CB100" i="3"/>
  <c r="CA100" i="3"/>
  <c r="BZ100" i="3"/>
  <c r="BY100" i="3"/>
  <c r="BX100" i="3"/>
  <c r="BW100" i="3"/>
  <c r="BV100" i="3"/>
  <c r="BU100" i="3"/>
  <c r="BT100" i="3"/>
  <c r="BS100" i="3"/>
  <c r="BR100" i="3"/>
  <c r="BQ100" i="3"/>
  <c r="BP100" i="3"/>
  <c r="BO100" i="3"/>
  <c r="BN100" i="3"/>
  <c r="BM100" i="3"/>
  <c r="BL100" i="3"/>
  <c r="BK100" i="3"/>
  <c r="BJ100" i="3"/>
  <c r="BI100" i="3"/>
  <c r="BH100" i="3"/>
  <c r="BG100" i="3"/>
  <c r="BF100" i="3"/>
  <c r="BE100" i="3"/>
  <c r="BD100" i="3"/>
  <c r="BC100" i="3"/>
  <c r="BB100" i="3"/>
  <c r="BA100" i="3"/>
  <c r="AZ100" i="3"/>
  <c r="AY100" i="3"/>
  <c r="AX100" i="3"/>
  <c r="AW100" i="3"/>
  <c r="AV100" i="3"/>
  <c r="AU100" i="3"/>
  <c r="AT100" i="3"/>
  <c r="AS100" i="3"/>
  <c r="AR100" i="3"/>
  <c r="AQ100" i="3"/>
  <c r="AP100" i="3"/>
  <c r="AO100" i="3"/>
  <c r="AN100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A100" i="3"/>
  <c r="Z100" i="3"/>
  <c r="Y100" i="3"/>
  <c r="X100" i="3"/>
  <c r="W100" i="3"/>
  <c r="V100" i="3"/>
  <c r="U100" i="3"/>
  <c r="T100" i="3"/>
  <c r="S100" i="3"/>
  <c r="D100" i="3"/>
  <c r="C100" i="3"/>
  <c r="B100" i="3"/>
  <c r="EL99" i="3"/>
  <c r="EK99" i="3"/>
  <c r="EJ99" i="3"/>
  <c r="EI99" i="3"/>
  <c r="EH99" i="3"/>
  <c r="EG99" i="3"/>
  <c r="EF99" i="3"/>
  <c r="EE99" i="3"/>
  <c r="ED99" i="3"/>
  <c r="EC99" i="3"/>
  <c r="EB99" i="3"/>
  <c r="EA99" i="3"/>
  <c r="DZ99" i="3"/>
  <c r="DY99" i="3"/>
  <c r="DX99" i="3"/>
  <c r="DW99" i="3"/>
  <c r="DV99" i="3"/>
  <c r="DU99" i="3"/>
  <c r="DT99" i="3"/>
  <c r="DS99" i="3"/>
  <c r="DR99" i="3"/>
  <c r="DQ99" i="3"/>
  <c r="DP99" i="3"/>
  <c r="DO99" i="3"/>
  <c r="DN99" i="3"/>
  <c r="DM99" i="3"/>
  <c r="DL99" i="3"/>
  <c r="DK99" i="3"/>
  <c r="DJ99" i="3"/>
  <c r="DI99" i="3"/>
  <c r="DH99" i="3"/>
  <c r="DG99" i="3"/>
  <c r="DF99" i="3"/>
  <c r="DE99" i="3"/>
  <c r="DD99" i="3"/>
  <c r="DC99" i="3"/>
  <c r="DB99" i="3"/>
  <c r="DA99" i="3"/>
  <c r="CZ99" i="3"/>
  <c r="CY99" i="3"/>
  <c r="CX99" i="3"/>
  <c r="CW99" i="3"/>
  <c r="CV99" i="3"/>
  <c r="CU99" i="3"/>
  <c r="CT99" i="3"/>
  <c r="CS99" i="3"/>
  <c r="CR99" i="3"/>
  <c r="CQ99" i="3"/>
  <c r="CP99" i="3"/>
  <c r="CO99" i="3"/>
  <c r="CN99" i="3"/>
  <c r="CM99" i="3"/>
  <c r="CL99" i="3"/>
  <c r="CK99" i="3"/>
  <c r="CJ99" i="3"/>
  <c r="CI99" i="3"/>
  <c r="CH99" i="3"/>
  <c r="CG99" i="3"/>
  <c r="CF99" i="3"/>
  <c r="CE99" i="3"/>
  <c r="CD99" i="3"/>
  <c r="CC99" i="3"/>
  <c r="CB99" i="3"/>
  <c r="CA99" i="3"/>
  <c r="BZ99" i="3"/>
  <c r="BY99" i="3"/>
  <c r="BX99" i="3"/>
  <c r="BW99" i="3"/>
  <c r="BV99" i="3"/>
  <c r="BU99" i="3"/>
  <c r="BT99" i="3"/>
  <c r="BS99" i="3"/>
  <c r="BR99" i="3"/>
  <c r="BQ99" i="3"/>
  <c r="BP99" i="3"/>
  <c r="BO99" i="3"/>
  <c r="BN99" i="3"/>
  <c r="BM99" i="3"/>
  <c r="BL99" i="3"/>
  <c r="BK99" i="3"/>
  <c r="BJ99" i="3"/>
  <c r="BI99" i="3"/>
  <c r="BH99" i="3"/>
  <c r="BG99" i="3"/>
  <c r="BF99" i="3"/>
  <c r="BE99" i="3"/>
  <c r="BD99" i="3"/>
  <c r="BC99" i="3"/>
  <c r="BB99" i="3"/>
  <c r="BA99" i="3"/>
  <c r="AZ99" i="3"/>
  <c r="AY99" i="3"/>
  <c r="AX99" i="3"/>
  <c r="AW99" i="3"/>
  <c r="AV99" i="3"/>
  <c r="AU99" i="3"/>
  <c r="AT99" i="3"/>
  <c r="AS99" i="3"/>
  <c r="AR99" i="3"/>
  <c r="AQ99" i="3"/>
  <c r="AP99" i="3"/>
  <c r="AO99" i="3"/>
  <c r="AN99" i="3"/>
  <c r="AM99" i="3"/>
  <c r="AL99" i="3"/>
  <c r="AK99" i="3"/>
  <c r="AJ99" i="3"/>
  <c r="AI99" i="3"/>
  <c r="AH99" i="3"/>
  <c r="AG99" i="3"/>
  <c r="AF99" i="3"/>
  <c r="AE99" i="3"/>
  <c r="AD99" i="3"/>
  <c r="AC99" i="3"/>
  <c r="AB99" i="3"/>
  <c r="AA99" i="3"/>
  <c r="Z99" i="3"/>
  <c r="Y99" i="3"/>
  <c r="X99" i="3"/>
  <c r="W99" i="3"/>
  <c r="V99" i="3"/>
  <c r="U99" i="3"/>
  <c r="T99" i="3"/>
  <c r="S99" i="3"/>
  <c r="D99" i="3"/>
  <c r="C99" i="3"/>
  <c r="B99" i="3"/>
  <c r="EL98" i="3"/>
  <c r="EK98" i="3"/>
  <c r="EJ98" i="3"/>
  <c r="EI98" i="3"/>
  <c r="EH98" i="3"/>
  <c r="EG98" i="3"/>
  <c r="EF98" i="3"/>
  <c r="EE98" i="3"/>
  <c r="ED98" i="3"/>
  <c r="EC98" i="3"/>
  <c r="EB98" i="3"/>
  <c r="EA98" i="3"/>
  <c r="DZ98" i="3"/>
  <c r="DY98" i="3"/>
  <c r="DX98" i="3"/>
  <c r="DW98" i="3"/>
  <c r="DV98" i="3"/>
  <c r="DU98" i="3"/>
  <c r="DT98" i="3"/>
  <c r="DS98" i="3"/>
  <c r="DR98" i="3"/>
  <c r="DQ98" i="3"/>
  <c r="DP98" i="3"/>
  <c r="DO98" i="3"/>
  <c r="DN98" i="3"/>
  <c r="DM98" i="3"/>
  <c r="DL98" i="3"/>
  <c r="DK98" i="3"/>
  <c r="DJ98" i="3"/>
  <c r="DI98" i="3"/>
  <c r="DH98" i="3"/>
  <c r="DG98" i="3"/>
  <c r="DF98" i="3"/>
  <c r="DE98" i="3"/>
  <c r="DD98" i="3"/>
  <c r="DC98" i="3"/>
  <c r="DB98" i="3"/>
  <c r="DA98" i="3"/>
  <c r="CZ98" i="3"/>
  <c r="CY98" i="3"/>
  <c r="CX98" i="3"/>
  <c r="CW98" i="3"/>
  <c r="CV98" i="3"/>
  <c r="CU98" i="3"/>
  <c r="CT98" i="3"/>
  <c r="CS98" i="3"/>
  <c r="CR98" i="3"/>
  <c r="CQ98" i="3"/>
  <c r="CP98" i="3"/>
  <c r="CO98" i="3"/>
  <c r="CN98" i="3"/>
  <c r="CM98" i="3"/>
  <c r="CL98" i="3"/>
  <c r="CK98" i="3"/>
  <c r="CJ98" i="3"/>
  <c r="CI98" i="3"/>
  <c r="CH98" i="3"/>
  <c r="CG98" i="3"/>
  <c r="CF98" i="3"/>
  <c r="CE98" i="3"/>
  <c r="CD98" i="3"/>
  <c r="CC98" i="3"/>
  <c r="CB98" i="3"/>
  <c r="CA98" i="3"/>
  <c r="BZ98" i="3"/>
  <c r="BY98" i="3"/>
  <c r="BX98" i="3"/>
  <c r="BW98" i="3"/>
  <c r="BV98" i="3"/>
  <c r="BU98" i="3"/>
  <c r="BT98" i="3"/>
  <c r="BS98" i="3"/>
  <c r="BR98" i="3"/>
  <c r="BQ98" i="3"/>
  <c r="BP98" i="3"/>
  <c r="BO98" i="3"/>
  <c r="BN98" i="3"/>
  <c r="BM98" i="3"/>
  <c r="BL98" i="3"/>
  <c r="BK98" i="3"/>
  <c r="BJ98" i="3"/>
  <c r="BI98" i="3"/>
  <c r="BH98" i="3"/>
  <c r="BG98" i="3"/>
  <c r="BF98" i="3"/>
  <c r="BE98" i="3"/>
  <c r="BD98" i="3"/>
  <c r="BC98" i="3"/>
  <c r="BB98" i="3"/>
  <c r="BA98" i="3"/>
  <c r="AZ98" i="3"/>
  <c r="AY98" i="3"/>
  <c r="AX98" i="3"/>
  <c r="AW98" i="3"/>
  <c r="AV98" i="3"/>
  <c r="AU98" i="3"/>
  <c r="AT98" i="3"/>
  <c r="AS98" i="3"/>
  <c r="AR98" i="3"/>
  <c r="AQ98" i="3"/>
  <c r="AP98" i="3"/>
  <c r="AO98" i="3"/>
  <c r="AN98" i="3"/>
  <c r="AM98" i="3"/>
  <c r="AL98" i="3"/>
  <c r="AK98" i="3"/>
  <c r="AJ98" i="3"/>
  <c r="AI98" i="3"/>
  <c r="AH98" i="3"/>
  <c r="AG98" i="3"/>
  <c r="AF98" i="3"/>
  <c r="AE98" i="3"/>
  <c r="AD98" i="3"/>
  <c r="AC98" i="3"/>
  <c r="AB98" i="3"/>
  <c r="AA98" i="3"/>
  <c r="Z98" i="3"/>
  <c r="Y98" i="3"/>
  <c r="X98" i="3"/>
  <c r="W98" i="3"/>
  <c r="V98" i="3"/>
  <c r="U98" i="3"/>
  <c r="T98" i="3"/>
  <c r="S98" i="3"/>
  <c r="D98" i="3"/>
  <c r="C98" i="3"/>
  <c r="B98" i="3"/>
  <c r="EL97" i="3"/>
  <c r="EK97" i="3"/>
  <c r="EJ97" i="3"/>
  <c r="EI97" i="3"/>
  <c r="EH97" i="3"/>
  <c r="EG97" i="3"/>
  <c r="EF97" i="3"/>
  <c r="EE97" i="3"/>
  <c r="ED97" i="3"/>
  <c r="EC97" i="3"/>
  <c r="EB97" i="3"/>
  <c r="EA97" i="3"/>
  <c r="DZ97" i="3"/>
  <c r="DY97" i="3"/>
  <c r="DX97" i="3"/>
  <c r="DW97" i="3"/>
  <c r="DV97" i="3"/>
  <c r="DU97" i="3"/>
  <c r="DT97" i="3"/>
  <c r="DS97" i="3"/>
  <c r="DR97" i="3"/>
  <c r="DQ97" i="3"/>
  <c r="DP97" i="3"/>
  <c r="DO97" i="3"/>
  <c r="DN97" i="3"/>
  <c r="DM97" i="3"/>
  <c r="DL97" i="3"/>
  <c r="DK97" i="3"/>
  <c r="DJ97" i="3"/>
  <c r="DI97" i="3"/>
  <c r="DH97" i="3"/>
  <c r="DG97" i="3"/>
  <c r="DF97" i="3"/>
  <c r="DE97" i="3"/>
  <c r="DD97" i="3"/>
  <c r="DC97" i="3"/>
  <c r="DB97" i="3"/>
  <c r="DA97" i="3"/>
  <c r="CZ97" i="3"/>
  <c r="CY97" i="3"/>
  <c r="CX97" i="3"/>
  <c r="CW97" i="3"/>
  <c r="CV97" i="3"/>
  <c r="CU97" i="3"/>
  <c r="CT97" i="3"/>
  <c r="CS97" i="3"/>
  <c r="CR97" i="3"/>
  <c r="CQ97" i="3"/>
  <c r="CP97" i="3"/>
  <c r="CO97" i="3"/>
  <c r="CN97" i="3"/>
  <c r="CM97" i="3"/>
  <c r="CL97" i="3"/>
  <c r="CK97" i="3"/>
  <c r="CJ97" i="3"/>
  <c r="CI97" i="3"/>
  <c r="CH97" i="3"/>
  <c r="CG97" i="3"/>
  <c r="CF97" i="3"/>
  <c r="CE97" i="3"/>
  <c r="CD97" i="3"/>
  <c r="CC97" i="3"/>
  <c r="CB97" i="3"/>
  <c r="CA97" i="3"/>
  <c r="BZ97" i="3"/>
  <c r="BY97" i="3"/>
  <c r="BX97" i="3"/>
  <c r="BW97" i="3"/>
  <c r="BV97" i="3"/>
  <c r="BU97" i="3"/>
  <c r="BT97" i="3"/>
  <c r="BS97" i="3"/>
  <c r="BR97" i="3"/>
  <c r="BQ97" i="3"/>
  <c r="BP97" i="3"/>
  <c r="BO97" i="3"/>
  <c r="BN97" i="3"/>
  <c r="BM97" i="3"/>
  <c r="BL97" i="3"/>
  <c r="BK97" i="3"/>
  <c r="BJ97" i="3"/>
  <c r="BI97" i="3"/>
  <c r="BH97" i="3"/>
  <c r="BG97" i="3"/>
  <c r="BF97" i="3"/>
  <c r="BE97" i="3"/>
  <c r="BD97" i="3"/>
  <c r="BC97" i="3"/>
  <c r="BB97" i="3"/>
  <c r="BA97" i="3"/>
  <c r="AZ97" i="3"/>
  <c r="AY97" i="3"/>
  <c r="AX97" i="3"/>
  <c r="AW97" i="3"/>
  <c r="AV97" i="3"/>
  <c r="AU97" i="3"/>
  <c r="AT97" i="3"/>
  <c r="AS97" i="3"/>
  <c r="AR97" i="3"/>
  <c r="AQ97" i="3"/>
  <c r="AP97" i="3"/>
  <c r="AO97" i="3"/>
  <c r="AN97" i="3"/>
  <c r="AM97" i="3"/>
  <c r="AL97" i="3"/>
  <c r="AK97" i="3"/>
  <c r="AJ97" i="3"/>
  <c r="AI97" i="3"/>
  <c r="AH97" i="3"/>
  <c r="AG97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D97" i="3"/>
  <c r="C97" i="3"/>
  <c r="B97" i="3"/>
  <c r="EL96" i="3"/>
  <c r="EK96" i="3"/>
  <c r="EJ96" i="3"/>
  <c r="EI96" i="3"/>
  <c r="EH96" i="3"/>
  <c r="EG96" i="3"/>
  <c r="EF96" i="3"/>
  <c r="EE96" i="3"/>
  <c r="ED96" i="3"/>
  <c r="EC96" i="3"/>
  <c r="EB96" i="3"/>
  <c r="EA96" i="3"/>
  <c r="DZ96" i="3"/>
  <c r="DY96" i="3"/>
  <c r="DX96" i="3"/>
  <c r="DW96" i="3"/>
  <c r="DV96" i="3"/>
  <c r="DU96" i="3"/>
  <c r="DT96" i="3"/>
  <c r="DS96" i="3"/>
  <c r="DR96" i="3"/>
  <c r="DQ96" i="3"/>
  <c r="DP96" i="3"/>
  <c r="DO96" i="3"/>
  <c r="DN96" i="3"/>
  <c r="DM96" i="3"/>
  <c r="DL96" i="3"/>
  <c r="DK96" i="3"/>
  <c r="DJ96" i="3"/>
  <c r="DI96" i="3"/>
  <c r="DH96" i="3"/>
  <c r="DG96" i="3"/>
  <c r="DF96" i="3"/>
  <c r="DE96" i="3"/>
  <c r="DD96" i="3"/>
  <c r="DC96" i="3"/>
  <c r="DB96" i="3"/>
  <c r="DA96" i="3"/>
  <c r="CZ96" i="3"/>
  <c r="CY96" i="3"/>
  <c r="CX96" i="3"/>
  <c r="CW96" i="3"/>
  <c r="CV96" i="3"/>
  <c r="CU96" i="3"/>
  <c r="CT96" i="3"/>
  <c r="CS96" i="3"/>
  <c r="CR96" i="3"/>
  <c r="CQ96" i="3"/>
  <c r="CP96" i="3"/>
  <c r="CO96" i="3"/>
  <c r="CN96" i="3"/>
  <c r="CM96" i="3"/>
  <c r="CL96" i="3"/>
  <c r="CK96" i="3"/>
  <c r="CJ96" i="3"/>
  <c r="CI96" i="3"/>
  <c r="CH96" i="3"/>
  <c r="CG96" i="3"/>
  <c r="CF96" i="3"/>
  <c r="CE96" i="3"/>
  <c r="CD96" i="3"/>
  <c r="CC96" i="3"/>
  <c r="CB96" i="3"/>
  <c r="CA96" i="3"/>
  <c r="BZ96" i="3"/>
  <c r="BY96" i="3"/>
  <c r="BX96" i="3"/>
  <c r="BW96" i="3"/>
  <c r="BV96" i="3"/>
  <c r="BU96" i="3"/>
  <c r="BT96" i="3"/>
  <c r="BS96" i="3"/>
  <c r="BR96" i="3"/>
  <c r="BQ96" i="3"/>
  <c r="BP96" i="3"/>
  <c r="BO96" i="3"/>
  <c r="BN96" i="3"/>
  <c r="BM96" i="3"/>
  <c r="BL96" i="3"/>
  <c r="BK96" i="3"/>
  <c r="BJ96" i="3"/>
  <c r="BI96" i="3"/>
  <c r="BH96" i="3"/>
  <c r="BG96" i="3"/>
  <c r="BF96" i="3"/>
  <c r="BE96" i="3"/>
  <c r="BD96" i="3"/>
  <c r="BC96" i="3"/>
  <c r="BB96" i="3"/>
  <c r="BA96" i="3"/>
  <c r="AZ96" i="3"/>
  <c r="AY96" i="3"/>
  <c r="AX96" i="3"/>
  <c r="AW96" i="3"/>
  <c r="AV96" i="3"/>
  <c r="AU96" i="3"/>
  <c r="AT96" i="3"/>
  <c r="AS96" i="3"/>
  <c r="AR96" i="3"/>
  <c r="AQ96" i="3"/>
  <c r="AP96" i="3"/>
  <c r="AO96" i="3"/>
  <c r="AN96" i="3"/>
  <c r="AM96" i="3"/>
  <c r="AL96" i="3"/>
  <c r="AK96" i="3"/>
  <c r="AJ96" i="3"/>
  <c r="AI96" i="3"/>
  <c r="AH96" i="3"/>
  <c r="AG96" i="3"/>
  <c r="AF96" i="3"/>
  <c r="AE96" i="3"/>
  <c r="AD96" i="3"/>
  <c r="AC96" i="3"/>
  <c r="AB96" i="3"/>
  <c r="AA96" i="3"/>
  <c r="Z96" i="3"/>
  <c r="Y96" i="3"/>
  <c r="X96" i="3"/>
  <c r="W96" i="3"/>
  <c r="V96" i="3"/>
  <c r="U96" i="3"/>
  <c r="T96" i="3"/>
  <c r="S96" i="3"/>
  <c r="D96" i="3"/>
  <c r="C96" i="3"/>
  <c r="B96" i="3"/>
  <c r="EL95" i="3"/>
  <c r="EK95" i="3"/>
  <c r="EJ95" i="3"/>
  <c r="EI95" i="3"/>
  <c r="EH95" i="3"/>
  <c r="EG95" i="3"/>
  <c r="EF95" i="3"/>
  <c r="EE95" i="3"/>
  <c r="ED95" i="3"/>
  <c r="EC95" i="3"/>
  <c r="EB95" i="3"/>
  <c r="EA95" i="3"/>
  <c r="DZ95" i="3"/>
  <c r="DY95" i="3"/>
  <c r="DX95" i="3"/>
  <c r="DW95" i="3"/>
  <c r="DV95" i="3"/>
  <c r="DU95" i="3"/>
  <c r="DT95" i="3"/>
  <c r="DS95" i="3"/>
  <c r="DR95" i="3"/>
  <c r="DQ95" i="3"/>
  <c r="DP95" i="3"/>
  <c r="DO95" i="3"/>
  <c r="DN95" i="3"/>
  <c r="DM95" i="3"/>
  <c r="DL95" i="3"/>
  <c r="DK95" i="3"/>
  <c r="DJ95" i="3"/>
  <c r="DI95" i="3"/>
  <c r="DH95" i="3"/>
  <c r="DG95" i="3"/>
  <c r="DF95" i="3"/>
  <c r="DE95" i="3"/>
  <c r="DD95" i="3"/>
  <c r="DC95" i="3"/>
  <c r="DB95" i="3"/>
  <c r="DA95" i="3"/>
  <c r="CZ95" i="3"/>
  <c r="CY95" i="3"/>
  <c r="CX95" i="3"/>
  <c r="CW95" i="3"/>
  <c r="CV95" i="3"/>
  <c r="CU95" i="3"/>
  <c r="CT95" i="3"/>
  <c r="CS95" i="3"/>
  <c r="CR95" i="3"/>
  <c r="CQ95" i="3"/>
  <c r="CP95" i="3"/>
  <c r="CO95" i="3"/>
  <c r="CN95" i="3"/>
  <c r="CM95" i="3"/>
  <c r="CL95" i="3"/>
  <c r="CK95" i="3"/>
  <c r="CJ95" i="3"/>
  <c r="CI95" i="3"/>
  <c r="CH95" i="3"/>
  <c r="CG95" i="3"/>
  <c r="CF95" i="3"/>
  <c r="CE95" i="3"/>
  <c r="CD95" i="3"/>
  <c r="CC95" i="3"/>
  <c r="CB95" i="3"/>
  <c r="CA95" i="3"/>
  <c r="BZ95" i="3"/>
  <c r="BY95" i="3"/>
  <c r="BX95" i="3"/>
  <c r="BW95" i="3"/>
  <c r="BV95" i="3"/>
  <c r="BU95" i="3"/>
  <c r="BT95" i="3"/>
  <c r="BS95" i="3"/>
  <c r="BR95" i="3"/>
  <c r="BQ95" i="3"/>
  <c r="BP95" i="3"/>
  <c r="BO95" i="3"/>
  <c r="BN95" i="3"/>
  <c r="BM95" i="3"/>
  <c r="BL95" i="3"/>
  <c r="BK95" i="3"/>
  <c r="BJ95" i="3"/>
  <c r="BI95" i="3"/>
  <c r="BH95" i="3"/>
  <c r="BG95" i="3"/>
  <c r="BF95" i="3"/>
  <c r="BE95" i="3"/>
  <c r="BD95" i="3"/>
  <c r="BC95" i="3"/>
  <c r="BB95" i="3"/>
  <c r="BA95" i="3"/>
  <c r="AZ95" i="3"/>
  <c r="AY95" i="3"/>
  <c r="AX95" i="3"/>
  <c r="AW95" i="3"/>
  <c r="AV95" i="3"/>
  <c r="AU95" i="3"/>
  <c r="AT95" i="3"/>
  <c r="AS95" i="3"/>
  <c r="AR95" i="3"/>
  <c r="AQ95" i="3"/>
  <c r="AP95" i="3"/>
  <c r="AO95" i="3"/>
  <c r="AN95" i="3"/>
  <c r="AM95" i="3"/>
  <c r="AL95" i="3"/>
  <c r="AK95" i="3"/>
  <c r="AJ95" i="3"/>
  <c r="AI95" i="3"/>
  <c r="AH95" i="3"/>
  <c r="AG95" i="3"/>
  <c r="AF95" i="3"/>
  <c r="AE95" i="3"/>
  <c r="AD95" i="3"/>
  <c r="AC95" i="3"/>
  <c r="AB95" i="3"/>
  <c r="AA95" i="3"/>
  <c r="Z95" i="3"/>
  <c r="Y95" i="3"/>
  <c r="X95" i="3"/>
  <c r="W95" i="3"/>
  <c r="V95" i="3"/>
  <c r="U95" i="3"/>
  <c r="T95" i="3"/>
  <c r="S95" i="3"/>
  <c r="D95" i="3"/>
  <c r="C95" i="3"/>
  <c r="B95" i="3"/>
  <c r="EL94" i="3"/>
  <c r="EK94" i="3"/>
  <c r="EJ94" i="3"/>
  <c r="EI94" i="3"/>
  <c r="EH94" i="3"/>
  <c r="EG94" i="3"/>
  <c r="EF94" i="3"/>
  <c r="EE94" i="3"/>
  <c r="ED94" i="3"/>
  <c r="EC94" i="3"/>
  <c r="EB94" i="3"/>
  <c r="EA94" i="3"/>
  <c r="DZ94" i="3"/>
  <c r="DY94" i="3"/>
  <c r="DX94" i="3"/>
  <c r="DW94" i="3"/>
  <c r="DV94" i="3"/>
  <c r="DU94" i="3"/>
  <c r="DT94" i="3"/>
  <c r="DS94" i="3"/>
  <c r="DR94" i="3"/>
  <c r="DQ94" i="3"/>
  <c r="DP94" i="3"/>
  <c r="DO94" i="3"/>
  <c r="DN94" i="3"/>
  <c r="DM94" i="3"/>
  <c r="DL94" i="3"/>
  <c r="DK94" i="3"/>
  <c r="DJ94" i="3"/>
  <c r="DI94" i="3"/>
  <c r="DH94" i="3"/>
  <c r="DG94" i="3"/>
  <c r="DF94" i="3"/>
  <c r="DE94" i="3"/>
  <c r="DD94" i="3"/>
  <c r="DC94" i="3"/>
  <c r="DB94" i="3"/>
  <c r="DA94" i="3"/>
  <c r="CZ94" i="3"/>
  <c r="CY94" i="3"/>
  <c r="CX94" i="3"/>
  <c r="CW94" i="3"/>
  <c r="CV94" i="3"/>
  <c r="CU94" i="3"/>
  <c r="CT94" i="3"/>
  <c r="CS94" i="3"/>
  <c r="CR94" i="3"/>
  <c r="CQ94" i="3"/>
  <c r="CP94" i="3"/>
  <c r="CO94" i="3"/>
  <c r="CN94" i="3"/>
  <c r="CM94" i="3"/>
  <c r="CL94" i="3"/>
  <c r="CK94" i="3"/>
  <c r="CJ94" i="3"/>
  <c r="CI94" i="3"/>
  <c r="CH94" i="3"/>
  <c r="CG94" i="3"/>
  <c r="CF94" i="3"/>
  <c r="CE94" i="3"/>
  <c r="CD94" i="3"/>
  <c r="CC94" i="3"/>
  <c r="CB94" i="3"/>
  <c r="CA94" i="3"/>
  <c r="BZ94" i="3"/>
  <c r="BY94" i="3"/>
  <c r="BX94" i="3"/>
  <c r="BW94" i="3"/>
  <c r="BV94" i="3"/>
  <c r="BU94" i="3"/>
  <c r="BT94" i="3"/>
  <c r="BS94" i="3"/>
  <c r="BR94" i="3"/>
  <c r="BQ94" i="3"/>
  <c r="BP94" i="3"/>
  <c r="BO94" i="3"/>
  <c r="BN94" i="3"/>
  <c r="BM94" i="3"/>
  <c r="BL94" i="3"/>
  <c r="BK94" i="3"/>
  <c r="BJ94" i="3"/>
  <c r="BI94" i="3"/>
  <c r="BH94" i="3"/>
  <c r="BG94" i="3"/>
  <c r="BF94" i="3"/>
  <c r="BE94" i="3"/>
  <c r="BD94" i="3"/>
  <c r="BC94" i="3"/>
  <c r="BB94" i="3"/>
  <c r="BA94" i="3"/>
  <c r="AZ94" i="3"/>
  <c r="AY94" i="3"/>
  <c r="AX94" i="3"/>
  <c r="AW94" i="3"/>
  <c r="AV94" i="3"/>
  <c r="AU94" i="3"/>
  <c r="AT94" i="3"/>
  <c r="AS94" i="3"/>
  <c r="AR94" i="3"/>
  <c r="AQ94" i="3"/>
  <c r="AP94" i="3"/>
  <c r="AO94" i="3"/>
  <c r="AN94" i="3"/>
  <c r="AM94" i="3"/>
  <c r="AL94" i="3"/>
  <c r="AK94" i="3"/>
  <c r="AJ94" i="3"/>
  <c r="AI94" i="3"/>
  <c r="AH94" i="3"/>
  <c r="AG94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D94" i="3"/>
  <c r="C94" i="3"/>
  <c r="B94" i="3"/>
  <c r="EL93" i="3"/>
  <c r="EK93" i="3"/>
  <c r="EJ93" i="3"/>
  <c r="EI93" i="3"/>
  <c r="EH93" i="3"/>
  <c r="EG93" i="3"/>
  <c r="EF93" i="3"/>
  <c r="EE93" i="3"/>
  <c r="ED93" i="3"/>
  <c r="EC93" i="3"/>
  <c r="EB93" i="3"/>
  <c r="EA93" i="3"/>
  <c r="DZ93" i="3"/>
  <c r="DY93" i="3"/>
  <c r="DX93" i="3"/>
  <c r="DW93" i="3"/>
  <c r="DV93" i="3"/>
  <c r="DU93" i="3"/>
  <c r="DT93" i="3"/>
  <c r="DS93" i="3"/>
  <c r="DR93" i="3"/>
  <c r="DQ93" i="3"/>
  <c r="DP93" i="3"/>
  <c r="DO93" i="3"/>
  <c r="DN93" i="3"/>
  <c r="DM93" i="3"/>
  <c r="DL93" i="3"/>
  <c r="DK93" i="3"/>
  <c r="DJ93" i="3"/>
  <c r="DI93" i="3"/>
  <c r="DH93" i="3"/>
  <c r="DG93" i="3"/>
  <c r="DF93" i="3"/>
  <c r="DE93" i="3"/>
  <c r="DD93" i="3"/>
  <c r="DC93" i="3"/>
  <c r="DB93" i="3"/>
  <c r="DA93" i="3"/>
  <c r="CZ93" i="3"/>
  <c r="CY93" i="3"/>
  <c r="CX93" i="3"/>
  <c r="CW93" i="3"/>
  <c r="CV93" i="3"/>
  <c r="CU93" i="3"/>
  <c r="CT93" i="3"/>
  <c r="CS93" i="3"/>
  <c r="CR93" i="3"/>
  <c r="CQ93" i="3"/>
  <c r="CP93" i="3"/>
  <c r="CO93" i="3"/>
  <c r="CN93" i="3"/>
  <c r="CM93" i="3"/>
  <c r="CL93" i="3"/>
  <c r="CK93" i="3"/>
  <c r="CJ93" i="3"/>
  <c r="CI93" i="3"/>
  <c r="CH93" i="3"/>
  <c r="CG93" i="3"/>
  <c r="CF93" i="3"/>
  <c r="CE93" i="3"/>
  <c r="CD93" i="3"/>
  <c r="CC93" i="3"/>
  <c r="CB93" i="3"/>
  <c r="CA93" i="3"/>
  <c r="BZ93" i="3"/>
  <c r="BY93" i="3"/>
  <c r="BX93" i="3"/>
  <c r="BW93" i="3"/>
  <c r="BV93" i="3"/>
  <c r="BU93" i="3"/>
  <c r="BT93" i="3"/>
  <c r="BS93" i="3"/>
  <c r="BR93" i="3"/>
  <c r="BQ93" i="3"/>
  <c r="BP93" i="3"/>
  <c r="BO93" i="3"/>
  <c r="BN93" i="3"/>
  <c r="BM93" i="3"/>
  <c r="BL93" i="3"/>
  <c r="BK93" i="3"/>
  <c r="BJ93" i="3"/>
  <c r="BI93" i="3"/>
  <c r="BH93" i="3"/>
  <c r="BG93" i="3"/>
  <c r="BF93" i="3"/>
  <c r="BE93" i="3"/>
  <c r="BD93" i="3"/>
  <c r="BC93" i="3"/>
  <c r="BB93" i="3"/>
  <c r="BA93" i="3"/>
  <c r="AZ93" i="3"/>
  <c r="AY93" i="3"/>
  <c r="AX93" i="3"/>
  <c r="AW93" i="3"/>
  <c r="AV93" i="3"/>
  <c r="AU93" i="3"/>
  <c r="AT93" i="3"/>
  <c r="AS93" i="3"/>
  <c r="AR93" i="3"/>
  <c r="AQ93" i="3"/>
  <c r="AP93" i="3"/>
  <c r="AO93" i="3"/>
  <c r="AN93" i="3"/>
  <c r="AM93" i="3"/>
  <c r="AL93" i="3"/>
  <c r="AK93" i="3"/>
  <c r="AJ93" i="3"/>
  <c r="AI93" i="3"/>
  <c r="AH93" i="3"/>
  <c r="AG93" i="3"/>
  <c r="AF93" i="3"/>
  <c r="AE93" i="3"/>
  <c r="AD93" i="3"/>
  <c r="AC93" i="3"/>
  <c r="AB93" i="3"/>
  <c r="AA93" i="3"/>
  <c r="Z93" i="3"/>
  <c r="Y93" i="3"/>
  <c r="X93" i="3"/>
  <c r="W93" i="3"/>
  <c r="V93" i="3"/>
  <c r="U93" i="3"/>
  <c r="T93" i="3"/>
  <c r="S93" i="3"/>
  <c r="D93" i="3"/>
  <c r="C93" i="3"/>
  <c r="B93" i="3"/>
  <c r="EL92" i="3"/>
  <c r="EK92" i="3"/>
  <c r="EJ92" i="3"/>
  <c r="EI92" i="3"/>
  <c r="EH92" i="3"/>
  <c r="EG92" i="3"/>
  <c r="EF92" i="3"/>
  <c r="EE92" i="3"/>
  <c r="ED92" i="3"/>
  <c r="EC92" i="3"/>
  <c r="EB92" i="3"/>
  <c r="EA92" i="3"/>
  <c r="DZ92" i="3"/>
  <c r="DY92" i="3"/>
  <c r="DX92" i="3"/>
  <c r="DW92" i="3"/>
  <c r="DV92" i="3"/>
  <c r="DU92" i="3"/>
  <c r="DT92" i="3"/>
  <c r="DS92" i="3"/>
  <c r="DR92" i="3"/>
  <c r="DQ92" i="3"/>
  <c r="DP92" i="3"/>
  <c r="DO92" i="3"/>
  <c r="DN92" i="3"/>
  <c r="DM92" i="3"/>
  <c r="DL92" i="3"/>
  <c r="DK92" i="3"/>
  <c r="DJ92" i="3"/>
  <c r="DI92" i="3"/>
  <c r="DH92" i="3"/>
  <c r="DG92" i="3"/>
  <c r="DF92" i="3"/>
  <c r="DE92" i="3"/>
  <c r="DD92" i="3"/>
  <c r="DC92" i="3"/>
  <c r="DB92" i="3"/>
  <c r="DA92" i="3"/>
  <c r="CZ92" i="3"/>
  <c r="CY92" i="3"/>
  <c r="CX92" i="3"/>
  <c r="CW92" i="3"/>
  <c r="CV92" i="3"/>
  <c r="CU92" i="3"/>
  <c r="CT92" i="3"/>
  <c r="CS92" i="3"/>
  <c r="CR92" i="3"/>
  <c r="CQ92" i="3"/>
  <c r="CP92" i="3"/>
  <c r="CO92" i="3"/>
  <c r="CN92" i="3"/>
  <c r="CM92" i="3"/>
  <c r="CL92" i="3"/>
  <c r="CK92" i="3"/>
  <c r="CJ92" i="3"/>
  <c r="CI92" i="3"/>
  <c r="CH92" i="3"/>
  <c r="CG92" i="3"/>
  <c r="CF92" i="3"/>
  <c r="CE92" i="3"/>
  <c r="CD92" i="3"/>
  <c r="CC92" i="3"/>
  <c r="CB92" i="3"/>
  <c r="CA92" i="3"/>
  <c r="BZ92" i="3"/>
  <c r="BY92" i="3"/>
  <c r="BX92" i="3"/>
  <c r="BW92" i="3"/>
  <c r="BV92" i="3"/>
  <c r="BU92" i="3"/>
  <c r="BT92" i="3"/>
  <c r="BS92" i="3"/>
  <c r="BR92" i="3"/>
  <c r="BQ92" i="3"/>
  <c r="BP92" i="3"/>
  <c r="BO92" i="3"/>
  <c r="BN92" i="3"/>
  <c r="BM92" i="3"/>
  <c r="BL92" i="3"/>
  <c r="BK92" i="3"/>
  <c r="BJ92" i="3"/>
  <c r="BI92" i="3"/>
  <c r="BH92" i="3"/>
  <c r="BG92" i="3"/>
  <c r="BF92" i="3"/>
  <c r="BE92" i="3"/>
  <c r="BD92" i="3"/>
  <c r="BC92" i="3"/>
  <c r="BB92" i="3"/>
  <c r="BA92" i="3"/>
  <c r="AZ92" i="3"/>
  <c r="AY92" i="3"/>
  <c r="AX92" i="3"/>
  <c r="AW92" i="3"/>
  <c r="AV92" i="3"/>
  <c r="AU92" i="3"/>
  <c r="AT92" i="3"/>
  <c r="AS92" i="3"/>
  <c r="AR92" i="3"/>
  <c r="AQ92" i="3"/>
  <c r="AP92" i="3"/>
  <c r="AO92" i="3"/>
  <c r="AN92" i="3"/>
  <c r="AM92" i="3"/>
  <c r="AL92" i="3"/>
  <c r="AK92" i="3"/>
  <c r="AJ92" i="3"/>
  <c r="AI92" i="3"/>
  <c r="AH92" i="3"/>
  <c r="AG92" i="3"/>
  <c r="AF92" i="3"/>
  <c r="AE92" i="3"/>
  <c r="AD92" i="3"/>
  <c r="AC92" i="3"/>
  <c r="AB92" i="3"/>
  <c r="AA92" i="3"/>
  <c r="Z92" i="3"/>
  <c r="Y92" i="3"/>
  <c r="X92" i="3"/>
  <c r="W92" i="3"/>
  <c r="V92" i="3"/>
  <c r="U92" i="3"/>
  <c r="T92" i="3"/>
  <c r="S92" i="3"/>
  <c r="D92" i="3"/>
  <c r="D126" i="3" s="1"/>
  <c r="C92" i="3"/>
  <c r="B92" i="3"/>
  <c r="EL91" i="3"/>
  <c r="EK91" i="3"/>
  <c r="EJ91" i="3"/>
  <c r="EI91" i="3"/>
  <c r="EH91" i="3"/>
  <c r="EG91" i="3"/>
  <c r="EF91" i="3"/>
  <c r="EE91" i="3"/>
  <c r="ED91" i="3"/>
  <c r="EC91" i="3"/>
  <c r="EB91" i="3"/>
  <c r="EA91" i="3"/>
  <c r="DZ91" i="3"/>
  <c r="DY91" i="3"/>
  <c r="DX91" i="3"/>
  <c r="DW91" i="3"/>
  <c r="DV91" i="3"/>
  <c r="DU91" i="3"/>
  <c r="DT91" i="3"/>
  <c r="DS91" i="3"/>
  <c r="DR91" i="3"/>
  <c r="DQ91" i="3"/>
  <c r="DP91" i="3"/>
  <c r="DO91" i="3"/>
  <c r="DN91" i="3"/>
  <c r="DM91" i="3"/>
  <c r="DL91" i="3"/>
  <c r="DK91" i="3"/>
  <c r="DJ91" i="3"/>
  <c r="DI91" i="3"/>
  <c r="DH91" i="3"/>
  <c r="DG91" i="3"/>
  <c r="DF91" i="3"/>
  <c r="DE91" i="3"/>
  <c r="DD91" i="3"/>
  <c r="DC91" i="3"/>
  <c r="DB91" i="3"/>
  <c r="DA91" i="3"/>
  <c r="CZ91" i="3"/>
  <c r="CY91" i="3"/>
  <c r="CX91" i="3"/>
  <c r="CW91" i="3"/>
  <c r="CV91" i="3"/>
  <c r="CU91" i="3"/>
  <c r="CT91" i="3"/>
  <c r="CS91" i="3"/>
  <c r="CR91" i="3"/>
  <c r="CQ91" i="3"/>
  <c r="CP91" i="3"/>
  <c r="CO91" i="3"/>
  <c r="CN91" i="3"/>
  <c r="CM91" i="3"/>
  <c r="CL91" i="3"/>
  <c r="CK91" i="3"/>
  <c r="CJ91" i="3"/>
  <c r="CI91" i="3"/>
  <c r="CH91" i="3"/>
  <c r="CG91" i="3"/>
  <c r="CF91" i="3"/>
  <c r="CE91" i="3"/>
  <c r="CD91" i="3"/>
  <c r="CC91" i="3"/>
  <c r="CB91" i="3"/>
  <c r="CA91" i="3"/>
  <c r="BZ91" i="3"/>
  <c r="BY91" i="3"/>
  <c r="BX91" i="3"/>
  <c r="BW91" i="3"/>
  <c r="BV91" i="3"/>
  <c r="BU91" i="3"/>
  <c r="BT91" i="3"/>
  <c r="BS91" i="3"/>
  <c r="BR91" i="3"/>
  <c r="BQ91" i="3"/>
  <c r="BP91" i="3"/>
  <c r="BO91" i="3"/>
  <c r="BN91" i="3"/>
  <c r="BM91" i="3"/>
  <c r="BL91" i="3"/>
  <c r="BK91" i="3"/>
  <c r="BJ91" i="3"/>
  <c r="BI91" i="3"/>
  <c r="BH91" i="3"/>
  <c r="BG91" i="3"/>
  <c r="BF91" i="3"/>
  <c r="BE91" i="3"/>
  <c r="BD91" i="3"/>
  <c r="BC91" i="3"/>
  <c r="BB91" i="3"/>
  <c r="BA91" i="3"/>
  <c r="AZ91" i="3"/>
  <c r="AY91" i="3"/>
  <c r="AX91" i="3"/>
  <c r="AW91" i="3"/>
  <c r="AV91" i="3"/>
  <c r="AU91" i="3"/>
  <c r="AT91" i="3"/>
  <c r="AS91" i="3"/>
  <c r="AR91" i="3"/>
  <c r="AQ91" i="3"/>
  <c r="AP91" i="3"/>
  <c r="AO91" i="3"/>
  <c r="AN91" i="3"/>
  <c r="AM91" i="3"/>
  <c r="AL91" i="3"/>
  <c r="AK91" i="3"/>
  <c r="AJ91" i="3"/>
  <c r="AI91" i="3"/>
  <c r="AH91" i="3"/>
  <c r="AG91" i="3"/>
  <c r="AF91" i="3"/>
  <c r="AE91" i="3"/>
  <c r="AD91" i="3"/>
  <c r="AC91" i="3"/>
  <c r="AB91" i="3"/>
  <c r="AA91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1" i="3"/>
  <c r="EL84" i="3"/>
  <c r="EK84" i="3"/>
  <c r="EJ84" i="3"/>
  <c r="EI84" i="3"/>
  <c r="EH84" i="3"/>
  <c r="EG84" i="3"/>
  <c r="EF84" i="3"/>
  <c r="EE84" i="3"/>
  <c r="ED84" i="3"/>
  <c r="EC84" i="3"/>
  <c r="EB84" i="3"/>
  <c r="EA84" i="3"/>
  <c r="DZ84" i="3"/>
  <c r="DY84" i="3"/>
  <c r="DX84" i="3"/>
  <c r="DW84" i="3"/>
  <c r="DV84" i="3"/>
  <c r="DU84" i="3"/>
  <c r="DT84" i="3"/>
  <c r="DS84" i="3"/>
  <c r="DR84" i="3"/>
  <c r="DQ84" i="3"/>
  <c r="DP84" i="3"/>
  <c r="DO84" i="3"/>
  <c r="DN84" i="3"/>
  <c r="DL84" i="3"/>
  <c r="DK84" i="3"/>
  <c r="DJ84" i="3"/>
  <c r="DI84" i="3"/>
  <c r="DH84" i="3"/>
  <c r="DG84" i="3"/>
  <c r="DF84" i="3"/>
  <c r="DE84" i="3"/>
  <c r="DD84" i="3"/>
  <c r="DC84" i="3"/>
  <c r="DB84" i="3"/>
  <c r="DA84" i="3"/>
  <c r="CZ84" i="3"/>
  <c r="CY84" i="3"/>
  <c r="CX84" i="3"/>
  <c r="CW84" i="3"/>
  <c r="CV84" i="3"/>
  <c r="CU84" i="3"/>
  <c r="CT84" i="3"/>
  <c r="CS84" i="3"/>
  <c r="CR84" i="3"/>
  <c r="CQ84" i="3"/>
  <c r="CP84" i="3"/>
  <c r="CO84" i="3"/>
  <c r="CN84" i="3"/>
  <c r="CM84" i="3"/>
  <c r="CL84" i="3"/>
  <c r="CK84" i="3"/>
  <c r="CJ84" i="3"/>
  <c r="CI84" i="3"/>
  <c r="CH84" i="3"/>
  <c r="CG84" i="3"/>
  <c r="CF84" i="3"/>
  <c r="CE84" i="3"/>
  <c r="CD84" i="3"/>
  <c r="CC84" i="3"/>
  <c r="CB84" i="3"/>
  <c r="CA84" i="3"/>
  <c r="BZ84" i="3"/>
  <c r="BY84" i="3"/>
  <c r="BX84" i="3"/>
  <c r="BW84" i="3"/>
  <c r="BV84" i="3"/>
  <c r="BU84" i="3"/>
  <c r="BT84" i="3"/>
  <c r="BS84" i="3"/>
  <c r="BR84" i="3"/>
  <c r="BQ84" i="3"/>
  <c r="BP84" i="3"/>
  <c r="BO84" i="3"/>
  <c r="BN84" i="3"/>
  <c r="BM84" i="3"/>
  <c r="BL84" i="3"/>
  <c r="BK84" i="3"/>
  <c r="BJ84" i="3"/>
  <c r="BI84" i="3"/>
  <c r="BH84" i="3"/>
  <c r="BG84" i="3"/>
  <c r="BF84" i="3"/>
  <c r="BE84" i="3"/>
  <c r="BD84" i="3"/>
  <c r="BC84" i="3"/>
  <c r="BB84" i="3"/>
  <c r="BA84" i="3"/>
  <c r="AZ84" i="3"/>
  <c r="AY84" i="3"/>
  <c r="AX84" i="3"/>
  <c r="AW84" i="3"/>
  <c r="AV84" i="3"/>
  <c r="AU84" i="3"/>
  <c r="AT84" i="3"/>
  <c r="AS84" i="3"/>
  <c r="AR84" i="3"/>
  <c r="AQ84" i="3"/>
  <c r="AP84" i="3"/>
  <c r="AO84" i="3"/>
  <c r="AN84" i="3"/>
  <c r="AM84" i="3"/>
  <c r="AL84" i="3"/>
  <c r="AK84" i="3"/>
  <c r="AJ84" i="3"/>
  <c r="AI84" i="3"/>
  <c r="AH84" i="3"/>
  <c r="AG84" i="3"/>
  <c r="AF84" i="3"/>
  <c r="AE84" i="3"/>
  <c r="AD84" i="3"/>
  <c r="AC84" i="3"/>
  <c r="AB84" i="3"/>
  <c r="AA84" i="3"/>
  <c r="Z84" i="3"/>
  <c r="Y84" i="3"/>
  <c r="X84" i="3"/>
  <c r="W84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D84" i="3"/>
  <c r="C84" i="3"/>
  <c r="B84" i="3"/>
  <c r="EL83" i="3"/>
  <c r="EK83" i="3"/>
  <c r="EJ83" i="3"/>
  <c r="EI83" i="3"/>
  <c r="EH83" i="3"/>
  <c r="EG83" i="3"/>
  <c r="EF83" i="3"/>
  <c r="EE83" i="3"/>
  <c r="ED83" i="3"/>
  <c r="EC83" i="3"/>
  <c r="EB83" i="3"/>
  <c r="EA83" i="3"/>
  <c r="DZ83" i="3"/>
  <c r="DY83" i="3"/>
  <c r="DX83" i="3"/>
  <c r="DW83" i="3"/>
  <c r="DV83" i="3"/>
  <c r="DU83" i="3"/>
  <c r="DT83" i="3"/>
  <c r="DS83" i="3"/>
  <c r="DR83" i="3"/>
  <c r="DQ83" i="3"/>
  <c r="DP83" i="3"/>
  <c r="DO83" i="3"/>
  <c r="DN83" i="3"/>
  <c r="DM83" i="3"/>
  <c r="DL83" i="3"/>
  <c r="DK83" i="3"/>
  <c r="DJ83" i="3"/>
  <c r="DI83" i="3"/>
  <c r="DH83" i="3"/>
  <c r="DG83" i="3"/>
  <c r="DF83" i="3"/>
  <c r="DE83" i="3"/>
  <c r="DD83" i="3"/>
  <c r="DC83" i="3"/>
  <c r="DB83" i="3"/>
  <c r="DA83" i="3"/>
  <c r="CZ83" i="3"/>
  <c r="CY83" i="3"/>
  <c r="CX83" i="3"/>
  <c r="CW83" i="3"/>
  <c r="CV83" i="3"/>
  <c r="CU83" i="3"/>
  <c r="CT83" i="3"/>
  <c r="CS83" i="3"/>
  <c r="CR83" i="3"/>
  <c r="CQ83" i="3"/>
  <c r="CP83" i="3"/>
  <c r="CO83" i="3"/>
  <c r="CN83" i="3"/>
  <c r="CM83" i="3"/>
  <c r="CL83" i="3"/>
  <c r="CK83" i="3"/>
  <c r="CJ83" i="3"/>
  <c r="CI83" i="3"/>
  <c r="CH83" i="3"/>
  <c r="CG83" i="3"/>
  <c r="CF83" i="3"/>
  <c r="CE83" i="3"/>
  <c r="CD83" i="3"/>
  <c r="CC83" i="3"/>
  <c r="CB83" i="3"/>
  <c r="CA83" i="3"/>
  <c r="BZ83" i="3"/>
  <c r="BY83" i="3"/>
  <c r="BX83" i="3"/>
  <c r="BW83" i="3"/>
  <c r="BV83" i="3"/>
  <c r="BU83" i="3"/>
  <c r="BT83" i="3"/>
  <c r="BS83" i="3"/>
  <c r="BR83" i="3"/>
  <c r="BQ83" i="3"/>
  <c r="BP83" i="3"/>
  <c r="BO83" i="3"/>
  <c r="BN83" i="3"/>
  <c r="BM83" i="3"/>
  <c r="BL83" i="3"/>
  <c r="BK83" i="3"/>
  <c r="BJ83" i="3"/>
  <c r="BI83" i="3"/>
  <c r="BH83" i="3"/>
  <c r="BG83" i="3"/>
  <c r="BF83" i="3"/>
  <c r="BE83" i="3"/>
  <c r="BD83" i="3"/>
  <c r="BC83" i="3"/>
  <c r="BB83" i="3"/>
  <c r="BA83" i="3"/>
  <c r="AZ83" i="3"/>
  <c r="AY83" i="3"/>
  <c r="AX83" i="3"/>
  <c r="AW83" i="3"/>
  <c r="AV83" i="3"/>
  <c r="AU83" i="3"/>
  <c r="AT83" i="3"/>
  <c r="AS83" i="3"/>
  <c r="AR83" i="3"/>
  <c r="AQ83" i="3"/>
  <c r="AP83" i="3"/>
  <c r="AO83" i="3"/>
  <c r="AN83" i="3"/>
  <c r="AM83" i="3"/>
  <c r="AL83" i="3"/>
  <c r="AK83" i="3"/>
  <c r="AJ83" i="3"/>
  <c r="AI83" i="3"/>
  <c r="AH83" i="3"/>
  <c r="AG83" i="3"/>
  <c r="AF83" i="3"/>
  <c r="AE83" i="3"/>
  <c r="AD83" i="3"/>
  <c r="AC83" i="3"/>
  <c r="AB83" i="3"/>
  <c r="AA83" i="3"/>
  <c r="Z83" i="3"/>
  <c r="Y83" i="3"/>
  <c r="X83" i="3"/>
  <c r="W83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D83" i="3"/>
  <c r="C83" i="3"/>
  <c r="B83" i="3"/>
  <c r="EL82" i="3"/>
  <c r="EK82" i="3"/>
  <c r="EJ82" i="3"/>
  <c r="EI82" i="3"/>
  <c r="EH82" i="3"/>
  <c r="EG82" i="3"/>
  <c r="EF82" i="3"/>
  <c r="EE82" i="3"/>
  <c r="ED82" i="3"/>
  <c r="EC82" i="3"/>
  <c r="EB82" i="3"/>
  <c r="EA82" i="3"/>
  <c r="DZ82" i="3"/>
  <c r="DY82" i="3"/>
  <c r="DX82" i="3"/>
  <c r="DW82" i="3"/>
  <c r="DV82" i="3"/>
  <c r="DU82" i="3"/>
  <c r="DT82" i="3"/>
  <c r="DS82" i="3"/>
  <c r="DR82" i="3"/>
  <c r="DQ82" i="3"/>
  <c r="DP82" i="3"/>
  <c r="DO82" i="3"/>
  <c r="DN82" i="3"/>
  <c r="DM82" i="3"/>
  <c r="DL82" i="3"/>
  <c r="DK82" i="3"/>
  <c r="DJ82" i="3"/>
  <c r="DI82" i="3"/>
  <c r="DH82" i="3"/>
  <c r="DG82" i="3"/>
  <c r="DF82" i="3"/>
  <c r="DE82" i="3"/>
  <c r="DD82" i="3"/>
  <c r="DC82" i="3"/>
  <c r="DB82" i="3"/>
  <c r="DA82" i="3"/>
  <c r="CZ82" i="3"/>
  <c r="CY82" i="3"/>
  <c r="CX82" i="3"/>
  <c r="CW82" i="3"/>
  <c r="CV82" i="3"/>
  <c r="CU82" i="3"/>
  <c r="CT82" i="3"/>
  <c r="CS82" i="3"/>
  <c r="CR82" i="3"/>
  <c r="CQ82" i="3"/>
  <c r="CP82" i="3"/>
  <c r="CO82" i="3"/>
  <c r="CN82" i="3"/>
  <c r="CM82" i="3"/>
  <c r="CL82" i="3"/>
  <c r="CK82" i="3"/>
  <c r="CJ82" i="3"/>
  <c r="CI82" i="3"/>
  <c r="CH82" i="3"/>
  <c r="CG82" i="3"/>
  <c r="CF82" i="3"/>
  <c r="CE82" i="3"/>
  <c r="CD82" i="3"/>
  <c r="CC82" i="3"/>
  <c r="CB82" i="3"/>
  <c r="CA82" i="3"/>
  <c r="BZ82" i="3"/>
  <c r="BY82" i="3"/>
  <c r="BX82" i="3"/>
  <c r="BW82" i="3"/>
  <c r="BV82" i="3"/>
  <c r="BU82" i="3"/>
  <c r="BT82" i="3"/>
  <c r="BS82" i="3"/>
  <c r="BR82" i="3"/>
  <c r="BQ82" i="3"/>
  <c r="BP82" i="3"/>
  <c r="BO82" i="3"/>
  <c r="BN82" i="3"/>
  <c r="BM82" i="3"/>
  <c r="BL82" i="3"/>
  <c r="BK82" i="3"/>
  <c r="BJ82" i="3"/>
  <c r="BI82" i="3"/>
  <c r="BH82" i="3"/>
  <c r="BG82" i="3"/>
  <c r="BF82" i="3"/>
  <c r="BE82" i="3"/>
  <c r="BD82" i="3"/>
  <c r="BC82" i="3"/>
  <c r="BB82" i="3"/>
  <c r="BA82" i="3"/>
  <c r="AZ82" i="3"/>
  <c r="AY82" i="3"/>
  <c r="AX82" i="3"/>
  <c r="AW82" i="3"/>
  <c r="AV82" i="3"/>
  <c r="AU82" i="3"/>
  <c r="AT82" i="3"/>
  <c r="AS82" i="3"/>
  <c r="AR82" i="3"/>
  <c r="AQ82" i="3"/>
  <c r="AP82" i="3"/>
  <c r="AO82" i="3"/>
  <c r="AN82" i="3"/>
  <c r="AM82" i="3"/>
  <c r="AL82" i="3"/>
  <c r="AK82" i="3"/>
  <c r="AJ82" i="3"/>
  <c r="AI82" i="3"/>
  <c r="AH82" i="3"/>
  <c r="AG82" i="3"/>
  <c r="AF82" i="3"/>
  <c r="AE82" i="3"/>
  <c r="AD82" i="3"/>
  <c r="AC82" i="3"/>
  <c r="AB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D82" i="3"/>
  <c r="C82" i="3"/>
  <c r="B82" i="3"/>
  <c r="EL81" i="3"/>
  <c r="EK81" i="3"/>
  <c r="EJ81" i="3"/>
  <c r="EI81" i="3"/>
  <c r="EH81" i="3"/>
  <c r="EG81" i="3"/>
  <c r="EF81" i="3"/>
  <c r="EE81" i="3"/>
  <c r="ED81" i="3"/>
  <c r="EC81" i="3"/>
  <c r="EB81" i="3"/>
  <c r="EA81" i="3"/>
  <c r="DZ81" i="3"/>
  <c r="DY81" i="3"/>
  <c r="DX81" i="3"/>
  <c r="DW81" i="3"/>
  <c r="DV81" i="3"/>
  <c r="DU81" i="3"/>
  <c r="DT81" i="3"/>
  <c r="DS81" i="3"/>
  <c r="DR81" i="3"/>
  <c r="DQ81" i="3"/>
  <c r="DP81" i="3"/>
  <c r="DO81" i="3"/>
  <c r="DN81" i="3"/>
  <c r="DM81" i="3"/>
  <c r="DL81" i="3"/>
  <c r="DK81" i="3"/>
  <c r="DJ81" i="3"/>
  <c r="DI81" i="3"/>
  <c r="DH81" i="3"/>
  <c r="DG81" i="3"/>
  <c r="DF81" i="3"/>
  <c r="DE81" i="3"/>
  <c r="DD81" i="3"/>
  <c r="DC81" i="3"/>
  <c r="DB81" i="3"/>
  <c r="DA81" i="3"/>
  <c r="CZ81" i="3"/>
  <c r="CY81" i="3"/>
  <c r="CX81" i="3"/>
  <c r="CW81" i="3"/>
  <c r="CV81" i="3"/>
  <c r="CU81" i="3"/>
  <c r="CT81" i="3"/>
  <c r="CS81" i="3"/>
  <c r="CR81" i="3"/>
  <c r="CQ81" i="3"/>
  <c r="CP81" i="3"/>
  <c r="CO81" i="3"/>
  <c r="CN81" i="3"/>
  <c r="CM81" i="3"/>
  <c r="CL81" i="3"/>
  <c r="CK81" i="3"/>
  <c r="CJ81" i="3"/>
  <c r="CI81" i="3"/>
  <c r="CH81" i="3"/>
  <c r="CG81" i="3"/>
  <c r="CF81" i="3"/>
  <c r="CE81" i="3"/>
  <c r="CD81" i="3"/>
  <c r="CC81" i="3"/>
  <c r="CB81" i="3"/>
  <c r="CA81" i="3"/>
  <c r="BZ81" i="3"/>
  <c r="BY81" i="3"/>
  <c r="BX81" i="3"/>
  <c r="BW81" i="3"/>
  <c r="BV81" i="3"/>
  <c r="BU81" i="3"/>
  <c r="BT81" i="3"/>
  <c r="BS81" i="3"/>
  <c r="BR81" i="3"/>
  <c r="BQ81" i="3"/>
  <c r="BP81" i="3"/>
  <c r="BO81" i="3"/>
  <c r="BN81" i="3"/>
  <c r="BM81" i="3"/>
  <c r="BL81" i="3"/>
  <c r="BK81" i="3"/>
  <c r="BJ81" i="3"/>
  <c r="BI81" i="3"/>
  <c r="BH81" i="3"/>
  <c r="BG81" i="3"/>
  <c r="BF81" i="3"/>
  <c r="BE81" i="3"/>
  <c r="BD81" i="3"/>
  <c r="BC81" i="3"/>
  <c r="BB81" i="3"/>
  <c r="BA81" i="3"/>
  <c r="AZ81" i="3"/>
  <c r="AY81" i="3"/>
  <c r="AX81" i="3"/>
  <c r="AW81" i="3"/>
  <c r="AV81" i="3"/>
  <c r="AU81" i="3"/>
  <c r="AT81" i="3"/>
  <c r="AS81" i="3"/>
  <c r="AR81" i="3"/>
  <c r="AQ81" i="3"/>
  <c r="AP81" i="3"/>
  <c r="AO81" i="3"/>
  <c r="AN81" i="3"/>
  <c r="AM81" i="3"/>
  <c r="AL81" i="3"/>
  <c r="AK81" i="3"/>
  <c r="AJ81" i="3"/>
  <c r="AI81" i="3"/>
  <c r="AH81" i="3"/>
  <c r="AG81" i="3"/>
  <c r="AF81" i="3"/>
  <c r="AE81" i="3"/>
  <c r="AD81" i="3"/>
  <c r="AC81" i="3"/>
  <c r="AB81" i="3"/>
  <c r="AA81" i="3"/>
  <c r="Z81" i="3"/>
  <c r="Y81" i="3"/>
  <c r="X81" i="3"/>
  <c r="W81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D81" i="3"/>
  <c r="C81" i="3"/>
  <c r="B81" i="3"/>
  <c r="EL80" i="3"/>
  <c r="EK80" i="3"/>
  <c r="EJ80" i="3"/>
  <c r="EI80" i="3"/>
  <c r="EH80" i="3"/>
  <c r="EG80" i="3"/>
  <c r="EF80" i="3"/>
  <c r="EE80" i="3"/>
  <c r="ED80" i="3"/>
  <c r="EC80" i="3"/>
  <c r="EB80" i="3"/>
  <c r="EA80" i="3"/>
  <c r="DZ80" i="3"/>
  <c r="DY80" i="3"/>
  <c r="DX80" i="3"/>
  <c r="DW80" i="3"/>
  <c r="DV80" i="3"/>
  <c r="DU80" i="3"/>
  <c r="DT80" i="3"/>
  <c r="DS80" i="3"/>
  <c r="DR80" i="3"/>
  <c r="DQ80" i="3"/>
  <c r="DP80" i="3"/>
  <c r="DO80" i="3"/>
  <c r="DN80" i="3"/>
  <c r="DM80" i="3"/>
  <c r="DL80" i="3"/>
  <c r="DK80" i="3"/>
  <c r="DJ80" i="3"/>
  <c r="DI80" i="3"/>
  <c r="DH80" i="3"/>
  <c r="DG80" i="3"/>
  <c r="DF80" i="3"/>
  <c r="DE80" i="3"/>
  <c r="DD80" i="3"/>
  <c r="DC80" i="3"/>
  <c r="DB80" i="3"/>
  <c r="DA80" i="3"/>
  <c r="CZ80" i="3"/>
  <c r="CY80" i="3"/>
  <c r="CX80" i="3"/>
  <c r="CW80" i="3"/>
  <c r="CV80" i="3"/>
  <c r="CU80" i="3"/>
  <c r="CT80" i="3"/>
  <c r="CS80" i="3"/>
  <c r="CR80" i="3"/>
  <c r="CQ80" i="3"/>
  <c r="CP80" i="3"/>
  <c r="CO80" i="3"/>
  <c r="CN80" i="3"/>
  <c r="CM80" i="3"/>
  <c r="CL80" i="3"/>
  <c r="CK80" i="3"/>
  <c r="CJ80" i="3"/>
  <c r="CI80" i="3"/>
  <c r="CH80" i="3"/>
  <c r="CG80" i="3"/>
  <c r="CF80" i="3"/>
  <c r="CE80" i="3"/>
  <c r="CD80" i="3"/>
  <c r="CC80" i="3"/>
  <c r="CB80" i="3"/>
  <c r="CA80" i="3"/>
  <c r="BZ80" i="3"/>
  <c r="BY80" i="3"/>
  <c r="BX80" i="3"/>
  <c r="BW80" i="3"/>
  <c r="BV80" i="3"/>
  <c r="BU80" i="3"/>
  <c r="BT80" i="3"/>
  <c r="BS80" i="3"/>
  <c r="BR80" i="3"/>
  <c r="BQ80" i="3"/>
  <c r="BP80" i="3"/>
  <c r="BO80" i="3"/>
  <c r="BN80" i="3"/>
  <c r="BM80" i="3"/>
  <c r="BL80" i="3"/>
  <c r="BK80" i="3"/>
  <c r="BJ80" i="3"/>
  <c r="BI80" i="3"/>
  <c r="BH80" i="3"/>
  <c r="BG80" i="3"/>
  <c r="BF80" i="3"/>
  <c r="BE80" i="3"/>
  <c r="BD80" i="3"/>
  <c r="BC80" i="3"/>
  <c r="BB80" i="3"/>
  <c r="BA80" i="3"/>
  <c r="AZ80" i="3"/>
  <c r="AY80" i="3"/>
  <c r="AX80" i="3"/>
  <c r="AW80" i="3"/>
  <c r="AV80" i="3"/>
  <c r="AU80" i="3"/>
  <c r="AT80" i="3"/>
  <c r="AS80" i="3"/>
  <c r="AR80" i="3"/>
  <c r="AQ80" i="3"/>
  <c r="AP80" i="3"/>
  <c r="AO80" i="3"/>
  <c r="AN80" i="3"/>
  <c r="AM80" i="3"/>
  <c r="AL80" i="3"/>
  <c r="AK80" i="3"/>
  <c r="AJ80" i="3"/>
  <c r="AI80" i="3"/>
  <c r="AH80" i="3"/>
  <c r="AG80" i="3"/>
  <c r="AF80" i="3"/>
  <c r="AE80" i="3"/>
  <c r="AD80" i="3"/>
  <c r="AC80" i="3"/>
  <c r="AB80" i="3"/>
  <c r="AA80" i="3"/>
  <c r="Z80" i="3"/>
  <c r="Y80" i="3"/>
  <c r="X80" i="3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D80" i="3"/>
  <c r="C80" i="3"/>
  <c r="B80" i="3"/>
  <c r="EL79" i="3"/>
  <c r="EK79" i="3"/>
  <c r="EJ79" i="3"/>
  <c r="EI79" i="3"/>
  <c r="EH79" i="3"/>
  <c r="EG79" i="3"/>
  <c r="EF79" i="3"/>
  <c r="EE79" i="3"/>
  <c r="ED79" i="3"/>
  <c r="EC79" i="3"/>
  <c r="EB79" i="3"/>
  <c r="EA79" i="3"/>
  <c r="DZ79" i="3"/>
  <c r="DY79" i="3"/>
  <c r="DX79" i="3"/>
  <c r="DW79" i="3"/>
  <c r="DV79" i="3"/>
  <c r="DU79" i="3"/>
  <c r="DT79" i="3"/>
  <c r="DS79" i="3"/>
  <c r="DR79" i="3"/>
  <c r="DQ79" i="3"/>
  <c r="DP79" i="3"/>
  <c r="DO79" i="3"/>
  <c r="DN79" i="3"/>
  <c r="DM79" i="3"/>
  <c r="DL79" i="3"/>
  <c r="DK79" i="3"/>
  <c r="DJ79" i="3"/>
  <c r="DI79" i="3"/>
  <c r="DH79" i="3"/>
  <c r="DG79" i="3"/>
  <c r="DF79" i="3"/>
  <c r="DE79" i="3"/>
  <c r="DD79" i="3"/>
  <c r="DC79" i="3"/>
  <c r="DB79" i="3"/>
  <c r="DA79" i="3"/>
  <c r="CZ79" i="3"/>
  <c r="CY79" i="3"/>
  <c r="CX79" i="3"/>
  <c r="CW79" i="3"/>
  <c r="CV79" i="3"/>
  <c r="CU79" i="3"/>
  <c r="CT79" i="3"/>
  <c r="CS79" i="3"/>
  <c r="CR79" i="3"/>
  <c r="CQ79" i="3"/>
  <c r="CP79" i="3"/>
  <c r="CO79" i="3"/>
  <c r="CN79" i="3"/>
  <c r="CM79" i="3"/>
  <c r="CL79" i="3"/>
  <c r="CK79" i="3"/>
  <c r="CJ79" i="3"/>
  <c r="CI79" i="3"/>
  <c r="CH79" i="3"/>
  <c r="CG79" i="3"/>
  <c r="CF79" i="3"/>
  <c r="CE79" i="3"/>
  <c r="CD79" i="3"/>
  <c r="CC79" i="3"/>
  <c r="CB79" i="3"/>
  <c r="CA79" i="3"/>
  <c r="BZ79" i="3"/>
  <c r="BY79" i="3"/>
  <c r="BX79" i="3"/>
  <c r="BW79" i="3"/>
  <c r="BV79" i="3"/>
  <c r="BU79" i="3"/>
  <c r="BT79" i="3"/>
  <c r="BS79" i="3"/>
  <c r="BR79" i="3"/>
  <c r="BQ79" i="3"/>
  <c r="BP79" i="3"/>
  <c r="BO79" i="3"/>
  <c r="BN79" i="3"/>
  <c r="BM79" i="3"/>
  <c r="BL79" i="3"/>
  <c r="BK79" i="3"/>
  <c r="BJ79" i="3"/>
  <c r="BI79" i="3"/>
  <c r="BH79" i="3"/>
  <c r="BG79" i="3"/>
  <c r="BF79" i="3"/>
  <c r="BE79" i="3"/>
  <c r="BD79" i="3"/>
  <c r="BC79" i="3"/>
  <c r="BB79" i="3"/>
  <c r="BA79" i="3"/>
  <c r="AZ79" i="3"/>
  <c r="AY79" i="3"/>
  <c r="AX79" i="3"/>
  <c r="AW79" i="3"/>
  <c r="AV79" i="3"/>
  <c r="AU79" i="3"/>
  <c r="AT79" i="3"/>
  <c r="AS79" i="3"/>
  <c r="AR79" i="3"/>
  <c r="AQ79" i="3"/>
  <c r="AP79" i="3"/>
  <c r="AO79" i="3"/>
  <c r="AN79" i="3"/>
  <c r="AM79" i="3"/>
  <c r="AL79" i="3"/>
  <c r="AK79" i="3"/>
  <c r="AJ79" i="3"/>
  <c r="AI79" i="3"/>
  <c r="AH79" i="3"/>
  <c r="AG79" i="3"/>
  <c r="AF79" i="3"/>
  <c r="AE79" i="3"/>
  <c r="AD79" i="3"/>
  <c r="AC79" i="3"/>
  <c r="AB79" i="3"/>
  <c r="AA79" i="3"/>
  <c r="Z79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D79" i="3"/>
  <c r="C79" i="3"/>
  <c r="B79" i="3"/>
  <c r="EL78" i="3"/>
  <c r="EK78" i="3"/>
  <c r="EJ78" i="3"/>
  <c r="EI78" i="3"/>
  <c r="EH78" i="3"/>
  <c r="EG78" i="3"/>
  <c r="EF78" i="3"/>
  <c r="EE78" i="3"/>
  <c r="ED78" i="3"/>
  <c r="EC78" i="3"/>
  <c r="EB78" i="3"/>
  <c r="EA78" i="3"/>
  <c r="DZ78" i="3"/>
  <c r="DY78" i="3"/>
  <c r="DX78" i="3"/>
  <c r="DW78" i="3"/>
  <c r="DV78" i="3"/>
  <c r="DU78" i="3"/>
  <c r="DT78" i="3"/>
  <c r="DS78" i="3"/>
  <c r="DR78" i="3"/>
  <c r="DQ78" i="3"/>
  <c r="DP78" i="3"/>
  <c r="DO78" i="3"/>
  <c r="DN78" i="3"/>
  <c r="DM78" i="3"/>
  <c r="DL78" i="3"/>
  <c r="DK78" i="3"/>
  <c r="DJ78" i="3"/>
  <c r="DI78" i="3"/>
  <c r="DH78" i="3"/>
  <c r="DG78" i="3"/>
  <c r="DF78" i="3"/>
  <c r="DE78" i="3"/>
  <c r="DD78" i="3"/>
  <c r="DC78" i="3"/>
  <c r="DB78" i="3"/>
  <c r="DA78" i="3"/>
  <c r="CZ78" i="3"/>
  <c r="CY78" i="3"/>
  <c r="CX78" i="3"/>
  <c r="CW78" i="3"/>
  <c r="CV78" i="3"/>
  <c r="CU78" i="3"/>
  <c r="CT78" i="3"/>
  <c r="CS78" i="3"/>
  <c r="CR78" i="3"/>
  <c r="CQ78" i="3"/>
  <c r="CP78" i="3"/>
  <c r="CO78" i="3"/>
  <c r="CN78" i="3"/>
  <c r="CM78" i="3"/>
  <c r="CL78" i="3"/>
  <c r="CK78" i="3"/>
  <c r="CJ78" i="3"/>
  <c r="CI78" i="3"/>
  <c r="CH78" i="3"/>
  <c r="CG78" i="3"/>
  <c r="CF78" i="3"/>
  <c r="CE78" i="3"/>
  <c r="CD78" i="3"/>
  <c r="CC78" i="3"/>
  <c r="CB78" i="3"/>
  <c r="CA78" i="3"/>
  <c r="BZ78" i="3"/>
  <c r="BY78" i="3"/>
  <c r="BX78" i="3"/>
  <c r="BW78" i="3"/>
  <c r="BV78" i="3"/>
  <c r="BU78" i="3"/>
  <c r="BT78" i="3"/>
  <c r="BS78" i="3"/>
  <c r="BR78" i="3"/>
  <c r="BQ78" i="3"/>
  <c r="BP78" i="3"/>
  <c r="BO78" i="3"/>
  <c r="BN78" i="3"/>
  <c r="BM78" i="3"/>
  <c r="BL78" i="3"/>
  <c r="BK78" i="3"/>
  <c r="BJ78" i="3"/>
  <c r="BI78" i="3"/>
  <c r="BH78" i="3"/>
  <c r="BG78" i="3"/>
  <c r="BF78" i="3"/>
  <c r="BE78" i="3"/>
  <c r="BD78" i="3"/>
  <c r="BC78" i="3"/>
  <c r="BB78" i="3"/>
  <c r="BA78" i="3"/>
  <c r="AZ78" i="3"/>
  <c r="AY78" i="3"/>
  <c r="AX78" i="3"/>
  <c r="AW78" i="3"/>
  <c r="AV78" i="3"/>
  <c r="AU78" i="3"/>
  <c r="AT78" i="3"/>
  <c r="AS78" i="3"/>
  <c r="AR78" i="3"/>
  <c r="AQ78" i="3"/>
  <c r="AP78" i="3"/>
  <c r="AO78" i="3"/>
  <c r="AN78" i="3"/>
  <c r="AM78" i="3"/>
  <c r="AL78" i="3"/>
  <c r="AK78" i="3"/>
  <c r="AJ78" i="3"/>
  <c r="AI78" i="3"/>
  <c r="AH78" i="3"/>
  <c r="AG78" i="3"/>
  <c r="AF78" i="3"/>
  <c r="AE78" i="3"/>
  <c r="AD78" i="3"/>
  <c r="AC78" i="3"/>
  <c r="AB78" i="3"/>
  <c r="AA78" i="3"/>
  <c r="Z78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D78" i="3"/>
  <c r="C78" i="3"/>
  <c r="B78" i="3"/>
  <c r="EL77" i="3"/>
  <c r="EK77" i="3"/>
  <c r="EJ77" i="3"/>
  <c r="EI77" i="3"/>
  <c r="EH77" i="3"/>
  <c r="EG77" i="3"/>
  <c r="EF77" i="3"/>
  <c r="EE77" i="3"/>
  <c r="ED77" i="3"/>
  <c r="EC77" i="3"/>
  <c r="EB77" i="3"/>
  <c r="EA77" i="3"/>
  <c r="DZ77" i="3"/>
  <c r="DY77" i="3"/>
  <c r="DX77" i="3"/>
  <c r="DW77" i="3"/>
  <c r="DV77" i="3"/>
  <c r="DU77" i="3"/>
  <c r="DT77" i="3"/>
  <c r="DS77" i="3"/>
  <c r="DR77" i="3"/>
  <c r="DQ77" i="3"/>
  <c r="DP77" i="3"/>
  <c r="DO77" i="3"/>
  <c r="DN77" i="3"/>
  <c r="DM77" i="3"/>
  <c r="DL77" i="3"/>
  <c r="DK77" i="3"/>
  <c r="DJ77" i="3"/>
  <c r="DI77" i="3"/>
  <c r="DH77" i="3"/>
  <c r="DG77" i="3"/>
  <c r="DF77" i="3"/>
  <c r="DE77" i="3"/>
  <c r="DD77" i="3"/>
  <c r="DC77" i="3"/>
  <c r="DB77" i="3"/>
  <c r="DA77" i="3"/>
  <c r="CZ77" i="3"/>
  <c r="CY77" i="3"/>
  <c r="CX77" i="3"/>
  <c r="CW77" i="3"/>
  <c r="CV77" i="3"/>
  <c r="CU77" i="3"/>
  <c r="CT77" i="3"/>
  <c r="CS77" i="3"/>
  <c r="CR77" i="3"/>
  <c r="CQ77" i="3"/>
  <c r="CP77" i="3"/>
  <c r="CO77" i="3"/>
  <c r="CN77" i="3"/>
  <c r="CM77" i="3"/>
  <c r="CL77" i="3"/>
  <c r="CK77" i="3"/>
  <c r="CJ77" i="3"/>
  <c r="CI77" i="3"/>
  <c r="CH77" i="3"/>
  <c r="CG77" i="3"/>
  <c r="CF77" i="3"/>
  <c r="CE77" i="3"/>
  <c r="CD77" i="3"/>
  <c r="CC77" i="3"/>
  <c r="CB77" i="3"/>
  <c r="CA77" i="3"/>
  <c r="BZ77" i="3"/>
  <c r="BY77" i="3"/>
  <c r="BX77" i="3"/>
  <c r="BW77" i="3"/>
  <c r="BV77" i="3"/>
  <c r="BU77" i="3"/>
  <c r="BT77" i="3"/>
  <c r="BS77" i="3"/>
  <c r="BR77" i="3"/>
  <c r="BQ77" i="3"/>
  <c r="BP77" i="3"/>
  <c r="BO77" i="3"/>
  <c r="BN77" i="3"/>
  <c r="BM77" i="3"/>
  <c r="BL77" i="3"/>
  <c r="BK77" i="3"/>
  <c r="BJ77" i="3"/>
  <c r="BI77" i="3"/>
  <c r="BH77" i="3"/>
  <c r="BG77" i="3"/>
  <c r="BF77" i="3"/>
  <c r="BE77" i="3"/>
  <c r="BD77" i="3"/>
  <c r="BC77" i="3"/>
  <c r="BB77" i="3"/>
  <c r="BA77" i="3"/>
  <c r="AZ77" i="3"/>
  <c r="AY77" i="3"/>
  <c r="AX77" i="3"/>
  <c r="AW77" i="3"/>
  <c r="AV77" i="3"/>
  <c r="AU77" i="3"/>
  <c r="AT77" i="3"/>
  <c r="AS77" i="3"/>
  <c r="AR77" i="3"/>
  <c r="AQ77" i="3"/>
  <c r="AP77" i="3"/>
  <c r="AO77" i="3"/>
  <c r="AN77" i="3"/>
  <c r="AM77" i="3"/>
  <c r="AL77" i="3"/>
  <c r="AK77" i="3"/>
  <c r="AJ77" i="3"/>
  <c r="AI77" i="3"/>
  <c r="AH77" i="3"/>
  <c r="AG77" i="3"/>
  <c r="AF77" i="3"/>
  <c r="AE77" i="3"/>
  <c r="AD77" i="3"/>
  <c r="AC77" i="3"/>
  <c r="AB77" i="3"/>
  <c r="AA77" i="3"/>
  <c r="Z77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D77" i="3"/>
  <c r="C77" i="3"/>
  <c r="B77" i="3"/>
  <c r="EL76" i="3"/>
  <c r="EK76" i="3"/>
  <c r="EJ76" i="3"/>
  <c r="EI76" i="3"/>
  <c r="EH76" i="3"/>
  <c r="EG76" i="3"/>
  <c r="EF76" i="3"/>
  <c r="EE76" i="3"/>
  <c r="ED76" i="3"/>
  <c r="EC76" i="3"/>
  <c r="EB76" i="3"/>
  <c r="EA76" i="3"/>
  <c r="DZ76" i="3"/>
  <c r="DY76" i="3"/>
  <c r="DX76" i="3"/>
  <c r="DW76" i="3"/>
  <c r="DV76" i="3"/>
  <c r="DU76" i="3"/>
  <c r="DT76" i="3"/>
  <c r="DS76" i="3"/>
  <c r="DR76" i="3"/>
  <c r="DQ76" i="3"/>
  <c r="DP76" i="3"/>
  <c r="DO76" i="3"/>
  <c r="DN76" i="3"/>
  <c r="DM76" i="3"/>
  <c r="DL76" i="3"/>
  <c r="DK76" i="3"/>
  <c r="DJ76" i="3"/>
  <c r="DI76" i="3"/>
  <c r="DH76" i="3"/>
  <c r="DG76" i="3"/>
  <c r="DF76" i="3"/>
  <c r="DE76" i="3"/>
  <c r="DD76" i="3"/>
  <c r="DC76" i="3"/>
  <c r="DB76" i="3"/>
  <c r="DA76" i="3"/>
  <c r="CZ76" i="3"/>
  <c r="CY76" i="3"/>
  <c r="CX76" i="3"/>
  <c r="CW76" i="3"/>
  <c r="CV76" i="3"/>
  <c r="CU76" i="3"/>
  <c r="CT76" i="3"/>
  <c r="CS76" i="3"/>
  <c r="CR76" i="3"/>
  <c r="CQ76" i="3"/>
  <c r="CP76" i="3"/>
  <c r="CO76" i="3"/>
  <c r="CN76" i="3"/>
  <c r="CM76" i="3"/>
  <c r="CL76" i="3"/>
  <c r="CK76" i="3"/>
  <c r="CJ76" i="3"/>
  <c r="CI76" i="3"/>
  <c r="CH76" i="3"/>
  <c r="CG76" i="3"/>
  <c r="CF76" i="3"/>
  <c r="CE76" i="3"/>
  <c r="CD76" i="3"/>
  <c r="CC76" i="3"/>
  <c r="CB76" i="3"/>
  <c r="CA76" i="3"/>
  <c r="BZ76" i="3"/>
  <c r="BY76" i="3"/>
  <c r="BX76" i="3"/>
  <c r="BW76" i="3"/>
  <c r="BV76" i="3"/>
  <c r="BU76" i="3"/>
  <c r="BT76" i="3"/>
  <c r="BS76" i="3"/>
  <c r="BR76" i="3"/>
  <c r="BQ76" i="3"/>
  <c r="BP76" i="3"/>
  <c r="BO76" i="3"/>
  <c r="BN76" i="3"/>
  <c r="BM76" i="3"/>
  <c r="BL76" i="3"/>
  <c r="BK76" i="3"/>
  <c r="BJ76" i="3"/>
  <c r="BI76" i="3"/>
  <c r="BH76" i="3"/>
  <c r="BG76" i="3"/>
  <c r="BF76" i="3"/>
  <c r="BE76" i="3"/>
  <c r="BD76" i="3"/>
  <c r="BC76" i="3"/>
  <c r="BB76" i="3"/>
  <c r="BA76" i="3"/>
  <c r="AZ76" i="3"/>
  <c r="AY76" i="3"/>
  <c r="AX76" i="3"/>
  <c r="AW76" i="3"/>
  <c r="AV76" i="3"/>
  <c r="AU76" i="3"/>
  <c r="AT76" i="3"/>
  <c r="AS76" i="3"/>
  <c r="AR76" i="3"/>
  <c r="AQ76" i="3"/>
  <c r="AP76" i="3"/>
  <c r="AO76" i="3"/>
  <c r="AN76" i="3"/>
  <c r="AM76" i="3"/>
  <c r="AL76" i="3"/>
  <c r="AK76" i="3"/>
  <c r="AJ76" i="3"/>
  <c r="AI76" i="3"/>
  <c r="AH76" i="3"/>
  <c r="AG76" i="3"/>
  <c r="AF76" i="3"/>
  <c r="AE76" i="3"/>
  <c r="AD76" i="3"/>
  <c r="AC76" i="3"/>
  <c r="AB76" i="3"/>
  <c r="AA76" i="3"/>
  <c r="Z76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D76" i="3"/>
  <c r="C76" i="3"/>
  <c r="B76" i="3"/>
  <c r="EL75" i="3"/>
  <c r="EK75" i="3"/>
  <c r="EJ75" i="3"/>
  <c r="EI75" i="3"/>
  <c r="EH75" i="3"/>
  <c r="EG75" i="3"/>
  <c r="EF75" i="3"/>
  <c r="EE75" i="3"/>
  <c r="ED75" i="3"/>
  <c r="EC75" i="3"/>
  <c r="EB75" i="3"/>
  <c r="EA75" i="3"/>
  <c r="DZ75" i="3"/>
  <c r="DY75" i="3"/>
  <c r="DX75" i="3"/>
  <c r="DW75" i="3"/>
  <c r="DV75" i="3"/>
  <c r="DU75" i="3"/>
  <c r="DT75" i="3"/>
  <c r="DS75" i="3"/>
  <c r="DR75" i="3"/>
  <c r="DQ75" i="3"/>
  <c r="DP75" i="3"/>
  <c r="DO75" i="3"/>
  <c r="DN75" i="3"/>
  <c r="DM75" i="3"/>
  <c r="DL75" i="3"/>
  <c r="DK75" i="3"/>
  <c r="DJ75" i="3"/>
  <c r="DI75" i="3"/>
  <c r="DH75" i="3"/>
  <c r="DG75" i="3"/>
  <c r="DF75" i="3"/>
  <c r="DE75" i="3"/>
  <c r="DD75" i="3"/>
  <c r="DC75" i="3"/>
  <c r="DB75" i="3"/>
  <c r="DA75" i="3"/>
  <c r="CZ75" i="3"/>
  <c r="CY75" i="3"/>
  <c r="CX75" i="3"/>
  <c r="CW75" i="3"/>
  <c r="CV75" i="3"/>
  <c r="CU75" i="3"/>
  <c r="CT75" i="3"/>
  <c r="CS75" i="3"/>
  <c r="CR75" i="3"/>
  <c r="CQ75" i="3"/>
  <c r="CP75" i="3"/>
  <c r="CO75" i="3"/>
  <c r="CN75" i="3"/>
  <c r="CM75" i="3"/>
  <c r="CL75" i="3"/>
  <c r="CK75" i="3"/>
  <c r="CJ75" i="3"/>
  <c r="CI75" i="3"/>
  <c r="CH75" i="3"/>
  <c r="CG75" i="3"/>
  <c r="CF75" i="3"/>
  <c r="CE75" i="3"/>
  <c r="CD75" i="3"/>
  <c r="CC75" i="3"/>
  <c r="CB75" i="3"/>
  <c r="CA75" i="3"/>
  <c r="BZ75" i="3"/>
  <c r="BY75" i="3"/>
  <c r="BX75" i="3"/>
  <c r="BW75" i="3"/>
  <c r="BV75" i="3"/>
  <c r="BU75" i="3"/>
  <c r="BT75" i="3"/>
  <c r="BS75" i="3"/>
  <c r="BR75" i="3"/>
  <c r="BQ75" i="3"/>
  <c r="BP75" i="3"/>
  <c r="BO75" i="3"/>
  <c r="BN75" i="3"/>
  <c r="BM75" i="3"/>
  <c r="BL75" i="3"/>
  <c r="BK75" i="3"/>
  <c r="BJ75" i="3"/>
  <c r="BI75" i="3"/>
  <c r="BH75" i="3"/>
  <c r="BG75" i="3"/>
  <c r="BF75" i="3"/>
  <c r="BE75" i="3"/>
  <c r="BD75" i="3"/>
  <c r="BC75" i="3"/>
  <c r="BB75" i="3"/>
  <c r="BA75" i="3"/>
  <c r="AZ75" i="3"/>
  <c r="AY75" i="3"/>
  <c r="AX75" i="3"/>
  <c r="AW75" i="3"/>
  <c r="AV75" i="3"/>
  <c r="AU75" i="3"/>
  <c r="AT75" i="3"/>
  <c r="AS75" i="3"/>
  <c r="AR75" i="3"/>
  <c r="AQ75" i="3"/>
  <c r="AP75" i="3"/>
  <c r="AO75" i="3"/>
  <c r="AN75" i="3"/>
  <c r="AM75" i="3"/>
  <c r="AL75" i="3"/>
  <c r="AK75" i="3"/>
  <c r="AJ75" i="3"/>
  <c r="AI75" i="3"/>
  <c r="AH75" i="3"/>
  <c r="AG75" i="3"/>
  <c r="AF75" i="3"/>
  <c r="AE75" i="3"/>
  <c r="AD75" i="3"/>
  <c r="AC75" i="3"/>
  <c r="AB75" i="3"/>
  <c r="AA75" i="3"/>
  <c r="Z75" i="3"/>
  <c r="Y75" i="3"/>
  <c r="X75" i="3"/>
  <c r="W75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D75" i="3"/>
  <c r="C75" i="3"/>
  <c r="B75" i="3"/>
  <c r="EL74" i="3"/>
  <c r="EK74" i="3"/>
  <c r="EJ74" i="3"/>
  <c r="EI74" i="3"/>
  <c r="EH74" i="3"/>
  <c r="EG74" i="3"/>
  <c r="EF74" i="3"/>
  <c r="EE74" i="3"/>
  <c r="ED74" i="3"/>
  <c r="EC74" i="3"/>
  <c r="EB74" i="3"/>
  <c r="EA74" i="3"/>
  <c r="DZ74" i="3"/>
  <c r="DY74" i="3"/>
  <c r="DX74" i="3"/>
  <c r="DW74" i="3"/>
  <c r="DV74" i="3"/>
  <c r="DU74" i="3"/>
  <c r="DT74" i="3"/>
  <c r="DS74" i="3"/>
  <c r="DR74" i="3"/>
  <c r="DQ74" i="3"/>
  <c r="DP74" i="3"/>
  <c r="DO74" i="3"/>
  <c r="DN74" i="3"/>
  <c r="DM74" i="3"/>
  <c r="DL74" i="3"/>
  <c r="DK74" i="3"/>
  <c r="DJ74" i="3"/>
  <c r="DI74" i="3"/>
  <c r="DH74" i="3"/>
  <c r="DG74" i="3"/>
  <c r="DF74" i="3"/>
  <c r="DE74" i="3"/>
  <c r="DD74" i="3"/>
  <c r="DC74" i="3"/>
  <c r="DB74" i="3"/>
  <c r="DA74" i="3"/>
  <c r="CZ74" i="3"/>
  <c r="CY74" i="3"/>
  <c r="CX74" i="3"/>
  <c r="CW74" i="3"/>
  <c r="CV74" i="3"/>
  <c r="CU74" i="3"/>
  <c r="CT74" i="3"/>
  <c r="CS74" i="3"/>
  <c r="CR74" i="3"/>
  <c r="CQ74" i="3"/>
  <c r="CP74" i="3"/>
  <c r="CO74" i="3"/>
  <c r="CN74" i="3"/>
  <c r="CM74" i="3"/>
  <c r="CL74" i="3"/>
  <c r="CK74" i="3"/>
  <c r="CJ74" i="3"/>
  <c r="CI74" i="3"/>
  <c r="CH74" i="3"/>
  <c r="CG74" i="3"/>
  <c r="CF74" i="3"/>
  <c r="CE74" i="3"/>
  <c r="CD74" i="3"/>
  <c r="CC74" i="3"/>
  <c r="CB74" i="3"/>
  <c r="CA74" i="3"/>
  <c r="BZ74" i="3"/>
  <c r="BY74" i="3"/>
  <c r="BX74" i="3"/>
  <c r="BW74" i="3"/>
  <c r="BV74" i="3"/>
  <c r="BU74" i="3"/>
  <c r="BT74" i="3"/>
  <c r="BS74" i="3"/>
  <c r="BR74" i="3"/>
  <c r="BQ74" i="3"/>
  <c r="BP74" i="3"/>
  <c r="BO74" i="3"/>
  <c r="BN74" i="3"/>
  <c r="BM74" i="3"/>
  <c r="BL74" i="3"/>
  <c r="BK74" i="3"/>
  <c r="BJ74" i="3"/>
  <c r="BI74" i="3"/>
  <c r="BH74" i="3"/>
  <c r="BG74" i="3"/>
  <c r="BF74" i="3"/>
  <c r="BE74" i="3"/>
  <c r="BD74" i="3"/>
  <c r="BC74" i="3"/>
  <c r="BB74" i="3"/>
  <c r="BA74" i="3"/>
  <c r="AZ74" i="3"/>
  <c r="AY74" i="3"/>
  <c r="AX74" i="3"/>
  <c r="AW74" i="3"/>
  <c r="AV74" i="3"/>
  <c r="AU74" i="3"/>
  <c r="AT74" i="3"/>
  <c r="AS74" i="3"/>
  <c r="AR74" i="3"/>
  <c r="AQ74" i="3"/>
  <c r="AP74" i="3"/>
  <c r="AO74" i="3"/>
  <c r="AN74" i="3"/>
  <c r="AM74" i="3"/>
  <c r="AL74" i="3"/>
  <c r="AK74" i="3"/>
  <c r="AJ74" i="3"/>
  <c r="AI74" i="3"/>
  <c r="AH74" i="3"/>
  <c r="AG74" i="3"/>
  <c r="AF74" i="3"/>
  <c r="AE74" i="3"/>
  <c r="AD74" i="3"/>
  <c r="AC74" i="3"/>
  <c r="AB74" i="3"/>
  <c r="AA74" i="3"/>
  <c r="Z74" i="3"/>
  <c r="Y74" i="3"/>
  <c r="X74" i="3"/>
  <c r="W74" i="3"/>
  <c r="V74" i="3"/>
  <c r="U74" i="3"/>
  <c r="T74" i="3"/>
  <c r="S74" i="3"/>
  <c r="R74" i="3"/>
  <c r="Q74" i="3"/>
  <c r="P74" i="3"/>
  <c r="O74" i="3"/>
  <c r="N74" i="3"/>
  <c r="M74" i="3"/>
  <c r="L74" i="3"/>
  <c r="K74" i="3"/>
  <c r="J74" i="3"/>
  <c r="I74" i="3"/>
  <c r="H74" i="3"/>
  <c r="D74" i="3"/>
  <c r="C74" i="3"/>
  <c r="B74" i="3"/>
  <c r="EL73" i="3"/>
  <c r="EK73" i="3"/>
  <c r="EJ73" i="3"/>
  <c r="EI73" i="3"/>
  <c r="EH73" i="3"/>
  <c r="EG73" i="3"/>
  <c r="EF73" i="3"/>
  <c r="EE73" i="3"/>
  <c r="ED73" i="3"/>
  <c r="EC73" i="3"/>
  <c r="EB73" i="3"/>
  <c r="EA73" i="3"/>
  <c r="DZ73" i="3"/>
  <c r="DY73" i="3"/>
  <c r="DX73" i="3"/>
  <c r="DW73" i="3"/>
  <c r="DV73" i="3"/>
  <c r="DU73" i="3"/>
  <c r="DT73" i="3"/>
  <c r="DS73" i="3"/>
  <c r="DR73" i="3"/>
  <c r="DQ73" i="3"/>
  <c r="DP73" i="3"/>
  <c r="DO73" i="3"/>
  <c r="DN73" i="3"/>
  <c r="DM73" i="3"/>
  <c r="DL73" i="3"/>
  <c r="DK73" i="3"/>
  <c r="DJ73" i="3"/>
  <c r="DI73" i="3"/>
  <c r="DH73" i="3"/>
  <c r="DG73" i="3"/>
  <c r="DF73" i="3"/>
  <c r="DE73" i="3"/>
  <c r="DD73" i="3"/>
  <c r="DC73" i="3"/>
  <c r="DB73" i="3"/>
  <c r="DA73" i="3"/>
  <c r="CZ73" i="3"/>
  <c r="CY73" i="3"/>
  <c r="CX73" i="3"/>
  <c r="CW73" i="3"/>
  <c r="CV73" i="3"/>
  <c r="CU73" i="3"/>
  <c r="CT73" i="3"/>
  <c r="CS73" i="3"/>
  <c r="CR73" i="3"/>
  <c r="CQ73" i="3"/>
  <c r="CP73" i="3"/>
  <c r="CO73" i="3"/>
  <c r="CN73" i="3"/>
  <c r="CM73" i="3"/>
  <c r="CL73" i="3"/>
  <c r="CK73" i="3"/>
  <c r="CJ73" i="3"/>
  <c r="CI73" i="3"/>
  <c r="CH73" i="3"/>
  <c r="CG73" i="3"/>
  <c r="CF73" i="3"/>
  <c r="CE73" i="3"/>
  <c r="CD73" i="3"/>
  <c r="CC73" i="3"/>
  <c r="CB73" i="3"/>
  <c r="CA73" i="3"/>
  <c r="BZ73" i="3"/>
  <c r="BY73" i="3"/>
  <c r="BX73" i="3"/>
  <c r="BW73" i="3"/>
  <c r="BV73" i="3"/>
  <c r="BU73" i="3"/>
  <c r="BT73" i="3"/>
  <c r="BS73" i="3"/>
  <c r="BR73" i="3"/>
  <c r="BQ73" i="3"/>
  <c r="BP73" i="3"/>
  <c r="BO73" i="3"/>
  <c r="BN73" i="3"/>
  <c r="BM73" i="3"/>
  <c r="BL73" i="3"/>
  <c r="BK73" i="3"/>
  <c r="BJ73" i="3"/>
  <c r="BI73" i="3"/>
  <c r="BH73" i="3"/>
  <c r="BG73" i="3"/>
  <c r="BF73" i="3"/>
  <c r="BE73" i="3"/>
  <c r="BD73" i="3"/>
  <c r="BC73" i="3"/>
  <c r="BB73" i="3"/>
  <c r="BA73" i="3"/>
  <c r="AZ73" i="3"/>
  <c r="AY73" i="3"/>
  <c r="AX73" i="3"/>
  <c r="AW73" i="3"/>
  <c r="AV73" i="3"/>
  <c r="AU73" i="3"/>
  <c r="AT73" i="3"/>
  <c r="AS73" i="3"/>
  <c r="AR73" i="3"/>
  <c r="AQ73" i="3"/>
  <c r="AP73" i="3"/>
  <c r="AO73" i="3"/>
  <c r="AN73" i="3"/>
  <c r="AM73" i="3"/>
  <c r="AL73" i="3"/>
  <c r="AK73" i="3"/>
  <c r="AJ73" i="3"/>
  <c r="AI73" i="3"/>
  <c r="AH73" i="3"/>
  <c r="AG73" i="3"/>
  <c r="AF73" i="3"/>
  <c r="AE73" i="3"/>
  <c r="AD73" i="3"/>
  <c r="AC73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D73" i="3"/>
  <c r="C73" i="3"/>
  <c r="B73" i="3"/>
  <c r="EL72" i="3"/>
  <c r="EK72" i="3"/>
  <c r="EJ72" i="3"/>
  <c r="EI72" i="3"/>
  <c r="EH72" i="3"/>
  <c r="EG72" i="3"/>
  <c r="EF72" i="3"/>
  <c r="EE72" i="3"/>
  <c r="ED72" i="3"/>
  <c r="EC72" i="3"/>
  <c r="EB72" i="3"/>
  <c r="EA72" i="3"/>
  <c r="DZ72" i="3"/>
  <c r="DY72" i="3"/>
  <c r="DX72" i="3"/>
  <c r="DW72" i="3"/>
  <c r="DV72" i="3"/>
  <c r="DU72" i="3"/>
  <c r="DT72" i="3"/>
  <c r="DS72" i="3"/>
  <c r="DR72" i="3"/>
  <c r="DQ72" i="3"/>
  <c r="DP72" i="3"/>
  <c r="DO72" i="3"/>
  <c r="DN72" i="3"/>
  <c r="DM72" i="3"/>
  <c r="DL72" i="3"/>
  <c r="DK72" i="3"/>
  <c r="DJ72" i="3"/>
  <c r="DI72" i="3"/>
  <c r="DH72" i="3"/>
  <c r="DG72" i="3"/>
  <c r="DF72" i="3"/>
  <c r="DE72" i="3"/>
  <c r="DD72" i="3"/>
  <c r="DC72" i="3"/>
  <c r="DB72" i="3"/>
  <c r="DA72" i="3"/>
  <c r="CZ72" i="3"/>
  <c r="CY72" i="3"/>
  <c r="CX72" i="3"/>
  <c r="CW72" i="3"/>
  <c r="CV72" i="3"/>
  <c r="CU72" i="3"/>
  <c r="CT72" i="3"/>
  <c r="CS72" i="3"/>
  <c r="CR72" i="3"/>
  <c r="CQ72" i="3"/>
  <c r="CP72" i="3"/>
  <c r="CO72" i="3"/>
  <c r="CN72" i="3"/>
  <c r="CM72" i="3"/>
  <c r="CL72" i="3"/>
  <c r="CK72" i="3"/>
  <c r="CJ72" i="3"/>
  <c r="CI72" i="3"/>
  <c r="CH72" i="3"/>
  <c r="CG72" i="3"/>
  <c r="CF72" i="3"/>
  <c r="CE72" i="3"/>
  <c r="CD72" i="3"/>
  <c r="CC72" i="3"/>
  <c r="CB72" i="3"/>
  <c r="CA72" i="3"/>
  <c r="BZ72" i="3"/>
  <c r="BY72" i="3"/>
  <c r="BX72" i="3"/>
  <c r="BW72" i="3"/>
  <c r="BV72" i="3"/>
  <c r="BU72" i="3"/>
  <c r="BT72" i="3"/>
  <c r="BS72" i="3"/>
  <c r="BR72" i="3"/>
  <c r="BQ72" i="3"/>
  <c r="BP72" i="3"/>
  <c r="BO72" i="3"/>
  <c r="BN72" i="3"/>
  <c r="BM72" i="3"/>
  <c r="BL72" i="3"/>
  <c r="BK72" i="3"/>
  <c r="BJ72" i="3"/>
  <c r="BI72" i="3"/>
  <c r="BH72" i="3"/>
  <c r="BG72" i="3"/>
  <c r="BF72" i="3"/>
  <c r="BE72" i="3"/>
  <c r="BD72" i="3"/>
  <c r="BC72" i="3"/>
  <c r="BB72" i="3"/>
  <c r="BA72" i="3"/>
  <c r="AZ72" i="3"/>
  <c r="AY72" i="3"/>
  <c r="AX72" i="3"/>
  <c r="AW72" i="3"/>
  <c r="AV72" i="3"/>
  <c r="AU72" i="3"/>
  <c r="AT72" i="3"/>
  <c r="AS72" i="3"/>
  <c r="AR72" i="3"/>
  <c r="AQ72" i="3"/>
  <c r="AP72" i="3"/>
  <c r="AO72" i="3"/>
  <c r="AN72" i="3"/>
  <c r="AM72" i="3"/>
  <c r="AL72" i="3"/>
  <c r="AK72" i="3"/>
  <c r="AJ72" i="3"/>
  <c r="AI72" i="3"/>
  <c r="AH72" i="3"/>
  <c r="AG72" i="3"/>
  <c r="AF72" i="3"/>
  <c r="AE72" i="3"/>
  <c r="AD72" i="3"/>
  <c r="AC72" i="3"/>
  <c r="AB72" i="3"/>
  <c r="AA72" i="3"/>
  <c r="Z72" i="3"/>
  <c r="Y72" i="3"/>
  <c r="X72" i="3"/>
  <c r="W72" i="3"/>
  <c r="V72" i="3"/>
  <c r="U72" i="3"/>
  <c r="T72" i="3"/>
  <c r="S72" i="3"/>
  <c r="R72" i="3"/>
  <c r="Q72" i="3"/>
  <c r="P72" i="3"/>
  <c r="O72" i="3"/>
  <c r="N72" i="3"/>
  <c r="M72" i="3"/>
  <c r="L72" i="3"/>
  <c r="K72" i="3"/>
  <c r="J72" i="3"/>
  <c r="I72" i="3"/>
  <c r="H72" i="3"/>
  <c r="D72" i="3"/>
  <c r="C72" i="3"/>
  <c r="B72" i="3"/>
  <c r="EL71" i="3"/>
  <c r="EK71" i="3"/>
  <c r="EJ71" i="3"/>
  <c r="EI71" i="3"/>
  <c r="EH71" i="3"/>
  <c r="EG71" i="3"/>
  <c r="EF71" i="3"/>
  <c r="EE71" i="3"/>
  <c r="ED71" i="3"/>
  <c r="EC71" i="3"/>
  <c r="EB71" i="3"/>
  <c r="EA71" i="3"/>
  <c r="DZ71" i="3"/>
  <c r="DY71" i="3"/>
  <c r="DX71" i="3"/>
  <c r="DW71" i="3"/>
  <c r="DV71" i="3"/>
  <c r="DU71" i="3"/>
  <c r="DT71" i="3"/>
  <c r="DS71" i="3"/>
  <c r="DR71" i="3"/>
  <c r="DQ71" i="3"/>
  <c r="DP71" i="3"/>
  <c r="DO71" i="3"/>
  <c r="DN71" i="3"/>
  <c r="DM71" i="3"/>
  <c r="DL71" i="3"/>
  <c r="DK71" i="3"/>
  <c r="DJ71" i="3"/>
  <c r="DI71" i="3"/>
  <c r="DH71" i="3"/>
  <c r="DG71" i="3"/>
  <c r="DF71" i="3"/>
  <c r="DE71" i="3"/>
  <c r="DD71" i="3"/>
  <c r="DC71" i="3"/>
  <c r="DB71" i="3"/>
  <c r="DA71" i="3"/>
  <c r="CZ71" i="3"/>
  <c r="CY71" i="3"/>
  <c r="CX71" i="3"/>
  <c r="CW71" i="3"/>
  <c r="CV71" i="3"/>
  <c r="CU71" i="3"/>
  <c r="CT71" i="3"/>
  <c r="CS71" i="3"/>
  <c r="CR71" i="3"/>
  <c r="CQ71" i="3"/>
  <c r="CP71" i="3"/>
  <c r="CO71" i="3"/>
  <c r="CN71" i="3"/>
  <c r="CM71" i="3"/>
  <c r="CL71" i="3"/>
  <c r="CK71" i="3"/>
  <c r="CJ71" i="3"/>
  <c r="CI71" i="3"/>
  <c r="CH71" i="3"/>
  <c r="CG71" i="3"/>
  <c r="CF71" i="3"/>
  <c r="CE71" i="3"/>
  <c r="CD71" i="3"/>
  <c r="CC71" i="3"/>
  <c r="CB71" i="3"/>
  <c r="CA71" i="3"/>
  <c r="BZ71" i="3"/>
  <c r="BY71" i="3"/>
  <c r="BX71" i="3"/>
  <c r="BW71" i="3"/>
  <c r="BV71" i="3"/>
  <c r="BU71" i="3"/>
  <c r="BT71" i="3"/>
  <c r="BS71" i="3"/>
  <c r="BR71" i="3"/>
  <c r="BQ71" i="3"/>
  <c r="BP71" i="3"/>
  <c r="BO71" i="3"/>
  <c r="BN71" i="3"/>
  <c r="BM71" i="3"/>
  <c r="BL71" i="3"/>
  <c r="BK71" i="3"/>
  <c r="BJ71" i="3"/>
  <c r="BI71" i="3"/>
  <c r="BH71" i="3"/>
  <c r="BG71" i="3"/>
  <c r="BF71" i="3"/>
  <c r="BE71" i="3"/>
  <c r="BD71" i="3"/>
  <c r="BC71" i="3"/>
  <c r="BB71" i="3"/>
  <c r="BA71" i="3"/>
  <c r="AZ71" i="3"/>
  <c r="AY71" i="3"/>
  <c r="AX71" i="3"/>
  <c r="AW71" i="3"/>
  <c r="AV71" i="3"/>
  <c r="AU71" i="3"/>
  <c r="AT71" i="3"/>
  <c r="AS71" i="3"/>
  <c r="AR71" i="3"/>
  <c r="AQ71" i="3"/>
  <c r="AP71" i="3"/>
  <c r="AO71" i="3"/>
  <c r="AN71" i="3"/>
  <c r="AM71" i="3"/>
  <c r="AL71" i="3"/>
  <c r="AK71" i="3"/>
  <c r="AJ71" i="3"/>
  <c r="AI71" i="3"/>
  <c r="AH71" i="3"/>
  <c r="AG71" i="3"/>
  <c r="AF71" i="3"/>
  <c r="AE71" i="3"/>
  <c r="AD71" i="3"/>
  <c r="AC71" i="3"/>
  <c r="AB71" i="3"/>
  <c r="AA71" i="3"/>
  <c r="Z71" i="3"/>
  <c r="Y71" i="3"/>
  <c r="X71" i="3"/>
  <c r="W71" i="3"/>
  <c r="V71" i="3"/>
  <c r="U71" i="3"/>
  <c r="T71" i="3"/>
  <c r="S71" i="3"/>
  <c r="R71" i="3"/>
  <c r="Q71" i="3"/>
  <c r="P71" i="3"/>
  <c r="O71" i="3"/>
  <c r="N71" i="3"/>
  <c r="M71" i="3"/>
  <c r="L71" i="3"/>
  <c r="K71" i="3"/>
  <c r="J71" i="3"/>
  <c r="I71" i="3"/>
  <c r="H71" i="3"/>
  <c r="D71" i="3"/>
  <c r="C71" i="3"/>
  <c r="B71" i="3"/>
  <c r="EL70" i="3"/>
  <c r="EK70" i="3"/>
  <c r="EJ70" i="3"/>
  <c r="EI70" i="3"/>
  <c r="EH70" i="3"/>
  <c r="EG70" i="3"/>
  <c r="EF70" i="3"/>
  <c r="EE70" i="3"/>
  <c r="ED70" i="3"/>
  <c r="EC70" i="3"/>
  <c r="EB70" i="3"/>
  <c r="EA70" i="3"/>
  <c r="DZ70" i="3"/>
  <c r="DY70" i="3"/>
  <c r="DX70" i="3"/>
  <c r="DW70" i="3"/>
  <c r="DV70" i="3"/>
  <c r="DU70" i="3"/>
  <c r="DT70" i="3"/>
  <c r="DS70" i="3"/>
  <c r="DR70" i="3"/>
  <c r="DQ70" i="3"/>
  <c r="DP70" i="3"/>
  <c r="DO70" i="3"/>
  <c r="DN70" i="3"/>
  <c r="DM70" i="3"/>
  <c r="DL70" i="3"/>
  <c r="DK70" i="3"/>
  <c r="DJ70" i="3"/>
  <c r="DI70" i="3"/>
  <c r="DH70" i="3"/>
  <c r="DG70" i="3"/>
  <c r="DF70" i="3"/>
  <c r="DE70" i="3"/>
  <c r="DD70" i="3"/>
  <c r="DC70" i="3"/>
  <c r="DB70" i="3"/>
  <c r="DA70" i="3"/>
  <c r="CZ70" i="3"/>
  <c r="CY70" i="3"/>
  <c r="CX70" i="3"/>
  <c r="CW70" i="3"/>
  <c r="CV70" i="3"/>
  <c r="CU70" i="3"/>
  <c r="CT70" i="3"/>
  <c r="CS70" i="3"/>
  <c r="CR70" i="3"/>
  <c r="CQ70" i="3"/>
  <c r="CP70" i="3"/>
  <c r="CO70" i="3"/>
  <c r="CN70" i="3"/>
  <c r="CM70" i="3"/>
  <c r="CL70" i="3"/>
  <c r="CK70" i="3"/>
  <c r="CJ70" i="3"/>
  <c r="CI70" i="3"/>
  <c r="CH70" i="3"/>
  <c r="CG70" i="3"/>
  <c r="CF70" i="3"/>
  <c r="CE70" i="3"/>
  <c r="CD70" i="3"/>
  <c r="CC70" i="3"/>
  <c r="CB70" i="3"/>
  <c r="CA70" i="3"/>
  <c r="BZ70" i="3"/>
  <c r="BY70" i="3"/>
  <c r="BX70" i="3"/>
  <c r="BW70" i="3"/>
  <c r="BV70" i="3"/>
  <c r="BU70" i="3"/>
  <c r="BT70" i="3"/>
  <c r="BS70" i="3"/>
  <c r="BR70" i="3"/>
  <c r="BQ70" i="3"/>
  <c r="BP70" i="3"/>
  <c r="BO70" i="3"/>
  <c r="BN70" i="3"/>
  <c r="BM70" i="3"/>
  <c r="BL70" i="3"/>
  <c r="BK70" i="3"/>
  <c r="BJ70" i="3"/>
  <c r="BI70" i="3"/>
  <c r="BH70" i="3"/>
  <c r="BG70" i="3"/>
  <c r="BF70" i="3"/>
  <c r="BE70" i="3"/>
  <c r="BD70" i="3"/>
  <c r="BC70" i="3"/>
  <c r="BB70" i="3"/>
  <c r="BA70" i="3"/>
  <c r="AZ70" i="3"/>
  <c r="AY70" i="3"/>
  <c r="AX70" i="3"/>
  <c r="AW70" i="3"/>
  <c r="AV70" i="3"/>
  <c r="AU70" i="3"/>
  <c r="AT70" i="3"/>
  <c r="AS70" i="3"/>
  <c r="AR70" i="3"/>
  <c r="AQ70" i="3"/>
  <c r="AP70" i="3"/>
  <c r="AO70" i="3"/>
  <c r="AN70" i="3"/>
  <c r="AM70" i="3"/>
  <c r="AL70" i="3"/>
  <c r="AK70" i="3"/>
  <c r="AJ70" i="3"/>
  <c r="AI70" i="3"/>
  <c r="AH70" i="3"/>
  <c r="AG70" i="3"/>
  <c r="AF70" i="3"/>
  <c r="AE70" i="3"/>
  <c r="AD70" i="3"/>
  <c r="AC70" i="3"/>
  <c r="AB70" i="3"/>
  <c r="AA70" i="3"/>
  <c r="Z70" i="3"/>
  <c r="Y70" i="3"/>
  <c r="X70" i="3"/>
  <c r="W70" i="3"/>
  <c r="V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D70" i="3"/>
  <c r="C70" i="3"/>
  <c r="B70" i="3"/>
  <c r="EL69" i="3"/>
  <c r="EK69" i="3"/>
  <c r="EJ69" i="3"/>
  <c r="EI69" i="3"/>
  <c r="EH69" i="3"/>
  <c r="EG69" i="3"/>
  <c r="EF69" i="3"/>
  <c r="EE69" i="3"/>
  <c r="ED69" i="3"/>
  <c r="EC69" i="3"/>
  <c r="EB69" i="3"/>
  <c r="EA69" i="3"/>
  <c r="DZ69" i="3"/>
  <c r="DY69" i="3"/>
  <c r="DX69" i="3"/>
  <c r="DW69" i="3"/>
  <c r="DV69" i="3"/>
  <c r="DU69" i="3"/>
  <c r="DT69" i="3"/>
  <c r="DS69" i="3"/>
  <c r="DR69" i="3"/>
  <c r="DQ69" i="3"/>
  <c r="DP69" i="3"/>
  <c r="DO69" i="3"/>
  <c r="DN69" i="3"/>
  <c r="DM69" i="3"/>
  <c r="DL69" i="3"/>
  <c r="DK69" i="3"/>
  <c r="DJ69" i="3"/>
  <c r="DI69" i="3"/>
  <c r="DH69" i="3"/>
  <c r="DG69" i="3"/>
  <c r="DF69" i="3"/>
  <c r="DE69" i="3"/>
  <c r="DD69" i="3"/>
  <c r="DC69" i="3"/>
  <c r="DB69" i="3"/>
  <c r="DA69" i="3"/>
  <c r="CZ69" i="3"/>
  <c r="CY69" i="3"/>
  <c r="CX69" i="3"/>
  <c r="CW69" i="3"/>
  <c r="CV69" i="3"/>
  <c r="CU69" i="3"/>
  <c r="CT69" i="3"/>
  <c r="CS69" i="3"/>
  <c r="CR69" i="3"/>
  <c r="CQ69" i="3"/>
  <c r="CP69" i="3"/>
  <c r="CO69" i="3"/>
  <c r="CN69" i="3"/>
  <c r="CM69" i="3"/>
  <c r="CL69" i="3"/>
  <c r="CK69" i="3"/>
  <c r="CJ69" i="3"/>
  <c r="CI69" i="3"/>
  <c r="CH69" i="3"/>
  <c r="CG69" i="3"/>
  <c r="CF69" i="3"/>
  <c r="CE69" i="3"/>
  <c r="CD69" i="3"/>
  <c r="CC69" i="3"/>
  <c r="CB69" i="3"/>
  <c r="CA69" i="3"/>
  <c r="BZ69" i="3"/>
  <c r="BY69" i="3"/>
  <c r="BX69" i="3"/>
  <c r="BW69" i="3"/>
  <c r="BV69" i="3"/>
  <c r="BU69" i="3"/>
  <c r="BT69" i="3"/>
  <c r="BS69" i="3"/>
  <c r="BR69" i="3"/>
  <c r="BQ69" i="3"/>
  <c r="BP69" i="3"/>
  <c r="BO69" i="3"/>
  <c r="BN69" i="3"/>
  <c r="BM69" i="3"/>
  <c r="BL69" i="3"/>
  <c r="BK69" i="3"/>
  <c r="BJ69" i="3"/>
  <c r="BI69" i="3"/>
  <c r="BH69" i="3"/>
  <c r="BG69" i="3"/>
  <c r="BF69" i="3"/>
  <c r="BE69" i="3"/>
  <c r="BD69" i="3"/>
  <c r="BC69" i="3"/>
  <c r="BB69" i="3"/>
  <c r="BA69" i="3"/>
  <c r="AZ69" i="3"/>
  <c r="AY69" i="3"/>
  <c r="AX69" i="3"/>
  <c r="AW69" i="3"/>
  <c r="AV69" i="3"/>
  <c r="AU69" i="3"/>
  <c r="AT69" i="3"/>
  <c r="AS69" i="3"/>
  <c r="AR69" i="3"/>
  <c r="AQ69" i="3"/>
  <c r="AP69" i="3"/>
  <c r="AO69" i="3"/>
  <c r="AN69" i="3"/>
  <c r="AM69" i="3"/>
  <c r="AL69" i="3"/>
  <c r="AK69" i="3"/>
  <c r="AJ69" i="3"/>
  <c r="AI69" i="3"/>
  <c r="AH69" i="3"/>
  <c r="AG69" i="3"/>
  <c r="AF69" i="3"/>
  <c r="AE69" i="3"/>
  <c r="AD69" i="3"/>
  <c r="AC69" i="3"/>
  <c r="AB69" i="3"/>
  <c r="AA69" i="3"/>
  <c r="Z69" i="3"/>
  <c r="Y69" i="3"/>
  <c r="X69" i="3"/>
  <c r="W69" i="3"/>
  <c r="V69" i="3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D69" i="3"/>
  <c r="C69" i="3"/>
  <c r="B69" i="3"/>
  <c r="EL68" i="3"/>
  <c r="EK68" i="3"/>
  <c r="EJ68" i="3"/>
  <c r="EI68" i="3"/>
  <c r="EH68" i="3"/>
  <c r="EG68" i="3"/>
  <c r="EF68" i="3"/>
  <c r="EE68" i="3"/>
  <c r="ED68" i="3"/>
  <c r="EC68" i="3"/>
  <c r="EB68" i="3"/>
  <c r="EA68" i="3"/>
  <c r="DZ68" i="3"/>
  <c r="DY68" i="3"/>
  <c r="DX68" i="3"/>
  <c r="DW68" i="3"/>
  <c r="DV68" i="3"/>
  <c r="DU68" i="3"/>
  <c r="DT68" i="3"/>
  <c r="DS68" i="3"/>
  <c r="DR68" i="3"/>
  <c r="DQ68" i="3"/>
  <c r="DP68" i="3"/>
  <c r="DO68" i="3"/>
  <c r="DN68" i="3"/>
  <c r="DM68" i="3"/>
  <c r="DL68" i="3"/>
  <c r="DK68" i="3"/>
  <c r="DJ68" i="3"/>
  <c r="DI68" i="3"/>
  <c r="DH68" i="3"/>
  <c r="DG68" i="3"/>
  <c r="DF68" i="3"/>
  <c r="DE68" i="3"/>
  <c r="DD68" i="3"/>
  <c r="DC68" i="3"/>
  <c r="DB68" i="3"/>
  <c r="DA68" i="3"/>
  <c r="CZ68" i="3"/>
  <c r="CY68" i="3"/>
  <c r="CX68" i="3"/>
  <c r="CW68" i="3"/>
  <c r="CV68" i="3"/>
  <c r="CU68" i="3"/>
  <c r="CT68" i="3"/>
  <c r="CS68" i="3"/>
  <c r="CR68" i="3"/>
  <c r="CQ68" i="3"/>
  <c r="CP68" i="3"/>
  <c r="CO68" i="3"/>
  <c r="CN68" i="3"/>
  <c r="CM68" i="3"/>
  <c r="CL68" i="3"/>
  <c r="CK68" i="3"/>
  <c r="CJ68" i="3"/>
  <c r="CI68" i="3"/>
  <c r="CH68" i="3"/>
  <c r="CG68" i="3"/>
  <c r="CF68" i="3"/>
  <c r="CE68" i="3"/>
  <c r="CD68" i="3"/>
  <c r="CC68" i="3"/>
  <c r="CB68" i="3"/>
  <c r="CA68" i="3"/>
  <c r="BZ68" i="3"/>
  <c r="BY68" i="3"/>
  <c r="BX68" i="3"/>
  <c r="BW68" i="3"/>
  <c r="BV68" i="3"/>
  <c r="BU68" i="3"/>
  <c r="BT68" i="3"/>
  <c r="BS68" i="3"/>
  <c r="BR68" i="3"/>
  <c r="BQ68" i="3"/>
  <c r="BP68" i="3"/>
  <c r="BO68" i="3"/>
  <c r="BN68" i="3"/>
  <c r="BM68" i="3"/>
  <c r="BL68" i="3"/>
  <c r="BK68" i="3"/>
  <c r="BJ68" i="3"/>
  <c r="BI68" i="3"/>
  <c r="BH68" i="3"/>
  <c r="BG68" i="3"/>
  <c r="BF68" i="3"/>
  <c r="BE68" i="3"/>
  <c r="BD68" i="3"/>
  <c r="BC68" i="3"/>
  <c r="BB68" i="3"/>
  <c r="BA68" i="3"/>
  <c r="AZ68" i="3"/>
  <c r="AY68" i="3"/>
  <c r="AX68" i="3"/>
  <c r="AW68" i="3"/>
  <c r="AV68" i="3"/>
  <c r="AU68" i="3"/>
  <c r="AT68" i="3"/>
  <c r="AS68" i="3"/>
  <c r="AR68" i="3"/>
  <c r="AQ68" i="3"/>
  <c r="AP68" i="3"/>
  <c r="AO68" i="3"/>
  <c r="AN68" i="3"/>
  <c r="AM68" i="3"/>
  <c r="AL68" i="3"/>
  <c r="AK68" i="3"/>
  <c r="AJ68" i="3"/>
  <c r="AI68" i="3"/>
  <c r="AH68" i="3"/>
  <c r="AG68" i="3"/>
  <c r="AF68" i="3"/>
  <c r="AE68" i="3"/>
  <c r="AD68" i="3"/>
  <c r="AC68" i="3"/>
  <c r="AB68" i="3"/>
  <c r="AA68" i="3"/>
  <c r="Z68" i="3"/>
  <c r="Y68" i="3"/>
  <c r="X68" i="3"/>
  <c r="W68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D68" i="3"/>
  <c r="C68" i="3"/>
  <c r="B68" i="3"/>
  <c r="EL67" i="3"/>
  <c r="EK67" i="3"/>
  <c r="EJ67" i="3"/>
  <c r="EI67" i="3"/>
  <c r="EH67" i="3"/>
  <c r="EG67" i="3"/>
  <c r="EF67" i="3"/>
  <c r="EE67" i="3"/>
  <c r="ED67" i="3"/>
  <c r="EC67" i="3"/>
  <c r="EB67" i="3"/>
  <c r="EA67" i="3"/>
  <c r="DZ67" i="3"/>
  <c r="DY67" i="3"/>
  <c r="DX67" i="3"/>
  <c r="DW67" i="3"/>
  <c r="DV67" i="3"/>
  <c r="DU67" i="3"/>
  <c r="DT67" i="3"/>
  <c r="DS67" i="3"/>
  <c r="DR67" i="3"/>
  <c r="DQ67" i="3"/>
  <c r="DP67" i="3"/>
  <c r="DO67" i="3"/>
  <c r="DN67" i="3"/>
  <c r="DM67" i="3"/>
  <c r="DL67" i="3"/>
  <c r="DK67" i="3"/>
  <c r="DJ67" i="3"/>
  <c r="DI67" i="3"/>
  <c r="DH67" i="3"/>
  <c r="DG67" i="3"/>
  <c r="DF67" i="3"/>
  <c r="DE67" i="3"/>
  <c r="DD67" i="3"/>
  <c r="DC67" i="3"/>
  <c r="DB67" i="3"/>
  <c r="DA67" i="3"/>
  <c r="CZ67" i="3"/>
  <c r="CY67" i="3"/>
  <c r="CX67" i="3"/>
  <c r="CW67" i="3"/>
  <c r="CV67" i="3"/>
  <c r="CU67" i="3"/>
  <c r="CT67" i="3"/>
  <c r="CS67" i="3"/>
  <c r="CR67" i="3"/>
  <c r="CQ67" i="3"/>
  <c r="CP67" i="3"/>
  <c r="CO67" i="3"/>
  <c r="CN67" i="3"/>
  <c r="CM67" i="3"/>
  <c r="CL67" i="3"/>
  <c r="CK67" i="3"/>
  <c r="CJ67" i="3"/>
  <c r="CI67" i="3"/>
  <c r="CH67" i="3"/>
  <c r="CG67" i="3"/>
  <c r="CF67" i="3"/>
  <c r="CE67" i="3"/>
  <c r="CD67" i="3"/>
  <c r="CC67" i="3"/>
  <c r="CB67" i="3"/>
  <c r="CA67" i="3"/>
  <c r="BZ67" i="3"/>
  <c r="BY67" i="3"/>
  <c r="BX67" i="3"/>
  <c r="BW67" i="3"/>
  <c r="BV67" i="3"/>
  <c r="BU67" i="3"/>
  <c r="BT67" i="3"/>
  <c r="BS67" i="3"/>
  <c r="BR67" i="3"/>
  <c r="BQ67" i="3"/>
  <c r="BP67" i="3"/>
  <c r="BO67" i="3"/>
  <c r="BN67" i="3"/>
  <c r="BM67" i="3"/>
  <c r="BL67" i="3"/>
  <c r="BK67" i="3"/>
  <c r="BJ67" i="3"/>
  <c r="BI67" i="3"/>
  <c r="BH67" i="3"/>
  <c r="BG67" i="3"/>
  <c r="BF67" i="3"/>
  <c r="BE67" i="3"/>
  <c r="BD67" i="3"/>
  <c r="BC67" i="3"/>
  <c r="BB67" i="3"/>
  <c r="BA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D67" i="3"/>
  <c r="C67" i="3"/>
  <c r="B67" i="3"/>
  <c r="EL66" i="3"/>
  <c r="EK66" i="3"/>
  <c r="EJ66" i="3"/>
  <c r="EI66" i="3"/>
  <c r="EH66" i="3"/>
  <c r="EG66" i="3"/>
  <c r="EF66" i="3"/>
  <c r="EE66" i="3"/>
  <c r="ED66" i="3"/>
  <c r="EC66" i="3"/>
  <c r="EB66" i="3"/>
  <c r="EA66" i="3"/>
  <c r="DZ66" i="3"/>
  <c r="DY66" i="3"/>
  <c r="DX66" i="3"/>
  <c r="DW66" i="3"/>
  <c r="DV66" i="3"/>
  <c r="DU66" i="3"/>
  <c r="DT66" i="3"/>
  <c r="DS66" i="3"/>
  <c r="DR66" i="3"/>
  <c r="DQ66" i="3"/>
  <c r="DP66" i="3"/>
  <c r="DO66" i="3"/>
  <c r="DN66" i="3"/>
  <c r="DM66" i="3"/>
  <c r="DL66" i="3"/>
  <c r="DK66" i="3"/>
  <c r="DJ66" i="3"/>
  <c r="DI66" i="3"/>
  <c r="DH66" i="3"/>
  <c r="DG66" i="3"/>
  <c r="DF66" i="3"/>
  <c r="DE66" i="3"/>
  <c r="DD66" i="3"/>
  <c r="DC66" i="3"/>
  <c r="DB66" i="3"/>
  <c r="DA66" i="3"/>
  <c r="CZ66" i="3"/>
  <c r="CY66" i="3"/>
  <c r="CX66" i="3"/>
  <c r="CW66" i="3"/>
  <c r="CV66" i="3"/>
  <c r="CU66" i="3"/>
  <c r="CT66" i="3"/>
  <c r="CS66" i="3"/>
  <c r="CR66" i="3"/>
  <c r="CQ66" i="3"/>
  <c r="CP66" i="3"/>
  <c r="CO66" i="3"/>
  <c r="CN66" i="3"/>
  <c r="CM66" i="3"/>
  <c r="CL66" i="3"/>
  <c r="CK66" i="3"/>
  <c r="CJ66" i="3"/>
  <c r="CI66" i="3"/>
  <c r="CH66" i="3"/>
  <c r="CG66" i="3"/>
  <c r="CF66" i="3"/>
  <c r="CE66" i="3"/>
  <c r="CD66" i="3"/>
  <c r="CC66" i="3"/>
  <c r="CB66" i="3"/>
  <c r="CA66" i="3"/>
  <c r="BZ66" i="3"/>
  <c r="BY66" i="3"/>
  <c r="BX66" i="3"/>
  <c r="BW66" i="3"/>
  <c r="BV66" i="3"/>
  <c r="BU66" i="3"/>
  <c r="BT66" i="3"/>
  <c r="BS66" i="3"/>
  <c r="BR66" i="3"/>
  <c r="BQ66" i="3"/>
  <c r="BP66" i="3"/>
  <c r="BO66" i="3"/>
  <c r="BN66" i="3"/>
  <c r="BM66" i="3"/>
  <c r="BL66" i="3"/>
  <c r="BK66" i="3"/>
  <c r="BJ66" i="3"/>
  <c r="BI66" i="3"/>
  <c r="BH66" i="3"/>
  <c r="BG66" i="3"/>
  <c r="BF66" i="3"/>
  <c r="BE66" i="3"/>
  <c r="BD66" i="3"/>
  <c r="BC66" i="3"/>
  <c r="BB66" i="3"/>
  <c r="BA66" i="3"/>
  <c r="AZ66" i="3"/>
  <c r="AY66" i="3"/>
  <c r="AX66" i="3"/>
  <c r="AW66" i="3"/>
  <c r="AV66" i="3"/>
  <c r="AU66" i="3"/>
  <c r="AT66" i="3"/>
  <c r="AS66" i="3"/>
  <c r="AR66" i="3"/>
  <c r="AQ66" i="3"/>
  <c r="AP66" i="3"/>
  <c r="AO66" i="3"/>
  <c r="AN66" i="3"/>
  <c r="AM66" i="3"/>
  <c r="AL66" i="3"/>
  <c r="AK66" i="3"/>
  <c r="AJ66" i="3"/>
  <c r="AI66" i="3"/>
  <c r="AH66" i="3"/>
  <c r="AG66" i="3"/>
  <c r="AF66" i="3"/>
  <c r="AE66" i="3"/>
  <c r="AD66" i="3"/>
  <c r="AC66" i="3"/>
  <c r="AB66" i="3"/>
  <c r="AA66" i="3"/>
  <c r="Z66" i="3"/>
  <c r="Y66" i="3"/>
  <c r="X66" i="3"/>
  <c r="W66" i="3"/>
  <c r="V66" i="3"/>
  <c r="U66" i="3"/>
  <c r="T66" i="3"/>
  <c r="S66" i="3"/>
  <c r="R66" i="3"/>
  <c r="Q66" i="3"/>
  <c r="P66" i="3"/>
  <c r="O66" i="3"/>
  <c r="N66" i="3"/>
  <c r="M66" i="3"/>
  <c r="L66" i="3"/>
  <c r="K66" i="3"/>
  <c r="J66" i="3"/>
  <c r="I66" i="3"/>
  <c r="H66" i="3"/>
  <c r="D66" i="3"/>
  <c r="C66" i="3"/>
  <c r="B66" i="3"/>
  <c r="EL65" i="3"/>
  <c r="EK65" i="3"/>
  <c r="EJ65" i="3"/>
  <c r="EI65" i="3"/>
  <c r="EH65" i="3"/>
  <c r="EG65" i="3"/>
  <c r="EF65" i="3"/>
  <c r="EE65" i="3"/>
  <c r="ED65" i="3"/>
  <c r="EC65" i="3"/>
  <c r="EB65" i="3"/>
  <c r="EA65" i="3"/>
  <c r="DZ65" i="3"/>
  <c r="DY65" i="3"/>
  <c r="DX65" i="3"/>
  <c r="DW65" i="3"/>
  <c r="DV65" i="3"/>
  <c r="DU65" i="3"/>
  <c r="DT65" i="3"/>
  <c r="DS65" i="3"/>
  <c r="DR65" i="3"/>
  <c r="DQ65" i="3"/>
  <c r="DP65" i="3"/>
  <c r="DO65" i="3"/>
  <c r="DN65" i="3"/>
  <c r="DM65" i="3"/>
  <c r="DL65" i="3"/>
  <c r="DK65" i="3"/>
  <c r="DJ65" i="3"/>
  <c r="DI65" i="3"/>
  <c r="DH65" i="3"/>
  <c r="DG65" i="3"/>
  <c r="DF65" i="3"/>
  <c r="DE65" i="3"/>
  <c r="DD65" i="3"/>
  <c r="DC65" i="3"/>
  <c r="DB65" i="3"/>
  <c r="DA65" i="3"/>
  <c r="CZ65" i="3"/>
  <c r="CY65" i="3"/>
  <c r="CX65" i="3"/>
  <c r="CW65" i="3"/>
  <c r="CV65" i="3"/>
  <c r="CU65" i="3"/>
  <c r="CT65" i="3"/>
  <c r="CS65" i="3"/>
  <c r="CR65" i="3"/>
  <c r="CQ65" i="3"/>
  <c r="CP65" i="3"/>
  <c r="CO65" i="3"/>
  <c r="CN65" i="3"/>
  <c r="CM65" i="3"/>
  <c r="CL65" i="3"/>
  <c r="CK65" i="3"/>
  <c r="CJ65" i="3"/>
  <c r="CI65" i="3"/>
  <c r="CH65" i="3"/>
  <c r="CG65" i="3"/>
  <c r="CF65" i="3"/>
  <c r="CE65" i="3"/>
  <c r="CD65" i="3"/>
  <c r="CC65" i="3"/>
  <c r="CB65" i="3"/>
  <c r="CA65" i="3"/>
  <c r="BZ65" i="3"/>
  <c r="BY65" i="3"/>
  <c r="BX65" i="3"/>
  <c r="BW65" i="3"/>
  <c r="BV65" i="3"/>
  <c r="BU65" i="3"/>
  <c r="BT65" i="3"/>
  <c r="BS65" i="3"/>
  <c r="BR65" i="3"/>
  <c r="BQ65" i="3"/>
  <c r="BP65" i="3"/>
  <c r="BO65" i="3"/>
  <c r="BN65" i="3"/>
  <c r="BM65" i="3"/>
  <c r="BL65" i="3"/>
  <c r="BK65" i="3"/>
  <c r="BJ65" i="3"/>
  <c r="BI65" i="3"/>
  <c r="BH65" i="3"/>
  <c r="BG65" i="3"/>
  <c r="BF65" i="3"/>
  <c r="BE65" i="3"/>
  <c r="BD65" i="3"/>
  <c r="BC65" i="3"/>
  <c r="BB65" i="3"/>
  <c r="BA65" i="3"/>
  <c r="AZ65" i="3"/>
  <c r="AY65" i="3"/>
  <c r="AX65" i="3"/>
  <c r="AW65" i="3"/>
  <c r="AV65" i="3"/>
  <c r="AU65" i="3"/>
  <c r="AT65" i="3"/>
  <c r="AS65" i="3"/>
  <c r="AR65" i="3"/>
  <c r="AQ65" i="3"/>
  <c r="AP65" i="3"/>
  <c r="AO65" i="3"/>
  <c r="AN65" i="3"/>
  <c r="AM65" i="3"/>
  <c r="AL65" i="3"/>
  <c r="AK65" i="3"/>
  <c r="AJ65" i="3"/>
  <c r="AI65" i="3"/>
  <c r="AH65" i="3"/>
  <c r="AG65" i="3"/>
  <c r="AF65" i="3"/>
  <c r="AE65" i="3"/>
  <c r="AD65" i="3"/>
  <c r="AC65" i="3"/>
  <c r="AB65" i="3"/>
  <c r="AA65" i="3"/>
  <c r="Z65" i="3"/>
  <c r="Y65" i="3"/>
  <c r="X65" i="3"/>
  <c r="W65" i="3"/>
  <c r="V65" i="3"/>
  <c r="U65" i="3"/>
  <c r="T65" i="3"/>
  <c r="S65" i="3"/>
  <c r="R65" i="3"/>
  <c r="Q65" i="3"/>
  <c r="P65" i="3"/>
  <c r="O65" i="3"/>
  <c r="N65" i="3"/>
  <c r="M65" i="3"/>
  <c r="L65" i="3"/>
  <c r="K65" i="3"/>
  <c r="J65" i="3"/>
  <c r="I65" i="3"/>
  <c r="H65" i="3"/>
  <c r="D65" i="3"/>
  <c r="C65" i="3"/>
  <c r="B65" i="3"/>
  <c r="EL64" i="3"/>
  <c r="EK64" i="3"/>
  <c r="EJ64" i="3"/>
  <c r="EI64" i="3"/>
  <c r="EH64" i="3"/>
  <c r="EG64" i="3"/>
  <c r="EF64" i="3"/>
  <c r="EE64" i="3"/>
  <c r="ED64" i="3"/>
  <c r="EC64" i="3"/>
  <c r="EB64" i="3"/>
  <c r="EA64" i="3"/>
  <c r="DZ64" i="3"/>
  <c r="DY64" i="3"/>
  <c r="DX64" i="3"/>
  <c r="DW64" i="3"/>
  <c r="DV64" i="3"/>
  <c r="DU64" i="3"/>
  <c r="DT64" i="3"/>
  <c r="DS64" i="3"/>
  <c r="DR64" i="3"/>
  <c r="DQ64" i="3"/>
  <c r="DP64" i="3"/>
  <c r="DO64" i="3"/>
  <c r="DN64" i="3"/>
  <c r="DM64" i="3"/>
  <c r="DL64" i="3"/>
  <c r="DK64" i="3"/>
  <c r="DJ64" i="3"/>
  <c r="DI64" i="3"/>
  <c r="DH64" i="3"/>
  <c r="DG64" i="3"/>
  <c r="DF64" i="3"/>
  <c r="DE64" i="3"/>
  <c r="DD64" i="3"/>
  <c r="DC64" i="3"/>
  <c r="DB64" i="3"/>
  <c r="DA64" i="3"/>
  <c r="CZ64" i="3"/>
  <c r="CY64" i="3"/>
  <c r="CX64" i="3"/>
  <c r="CW64" i="3"/>
  <c r="CV64" i="3"/>
  <c r="CU64" i="3"/>
  <c r="CT64" i="3"/>
  <c r="CS64" i="3"/>
  <c r="CR64" i="3"/>
  <c r="CQ64" i="3"/>
  <c r="CP64" i="3"/>
  <c r="CO64" i="3"/>
  <c r="CN64" i="3"/>
  <c r="CM64" i="3"/>
  <c r="CL64" i="3"/>
  <c r="CK64" i="3"/>
  <c r="CJ64" i="3"/>
  <c r="CI64" i="3"/>
  <c r="CH64" i="3"/>
  <c r="CG64" i="3"/>
  <c r="CF64" i="3"/>
  <c r="CE64" i="3"/>
  <c r="CD64" i="3"/>
  <c r="CC64" i="3"/>
  <c r="CB64" i="3"/>
  <c r="CA64" i="3"/>
  <c r="BZ64" i="3"/>
  <c r="BY64" i="3"/>
  <c r="BX64" i="3"/>
  <c r="BW64" i="3"/>
  <c r="BV64" i="3"/>
  <c r="BU64" i="3"/>
  <c r="BT64" i="3"/>
  <c r="BS64" i="3"/>
  <c r="BR64" i="3"/>
  <c r="BQ64" i="3"/>
  <c r="BP64" i="3"/>
  <c r="BO64" i="3"/>
  <c r="BN64" i="3"/>
  <c r="BM64" i="3"/>
  <c r="BL64" i="3"/>
  <c r="BK64" i="3"/>
  <c r="BJ64" i="3"/>
  <c r="BI64" i="3"/>
  <c r="BH64" i="3"/>
  <c r="BG64" i="3"/>
  <c r="BF64" i="3"/>
  <c r="BE64" i="3"/>
  <c r="BD64" i="3"/>
  <c r="BC64" i="3"/>
  <c r="BB64" i="3"/>
  <c r="BA64" i="3"/>
  <c r="AZ64" i="3"/>
  <c r="AY64" i="3"/>
  <c r="AX64" i="3"/>
  <c r="AW64" i="3"/>
  <c r="AV64" i="3"/>
  <c r="AU64" i="3"/>
  <c r="AT64" i="3"/>
  <c r="AS64" i="3"/>
  <c r="AR64" i="3"/>
  <c r="AQ64" i="3"/>
  <c r="AP64" i="3"/>
  <c r="AO64" i="3"/>
  <c r="AN64" i="3"/>
  <c r="AM64" i="3"/>
  <c r="AL64" i="3"/>
  <c r="AK64" i="3"/>
  <c r="AJ64" i="3"/>
  <c r="AI64" i="3"/>
  <c r="AH64" i="3"/>
  <c r="AG64" i="3"/>
  <c r="AF64" i="3"/>
  <c r="AE64" i="3"/>
  <c r="AD64" i="3"/>
  <c r="AC64" i="3"/>
  <c r="AB64" i="3"/>
  <c r="AA64" i="3"/>
  <c r="Z64" i="3"/>
  <c r="Y64" i="3"/>
  <c r="X64" i="3"/>
  <c r="W64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D64" i="3"/>
  <c r="C64" i="3"/>
  <c r="B64" i="3"/>
  <c r="EL63" i="3"/>
  <c r="EK63" i="3"/>
  <c r="EJ63" i="3"/>
  <c r="EI63" i="3"/>
  <c r="EH63" i="3"/>
  <c r="EG63" i="3"/>
  <c r="EF63" i="3"/>
  <c r="EE63" i="3"/>
  <c r="ED63" i="3"/>
  <c r="EC63" i="3"/>
  <c r="EB63" i="3"/>
  <c r="EA63" i="3"/>
  <c r="DZ63" i="3"/>
  <c r="DY63" i="3"/>
  <c r="DX63" i="3"/>
  <c r="DW63" i="3"/>
  <c r="DV63" i="3"/>
  <c r="DU63" i="3"/>
  <c r="DT63" i="3"/>
  <c r="DS63" i="3"/>
  <c r="DR63" i="3"/>
  <c r="DQ63" i="3"/>
  <c r="DP63" i="3"/>
  <c r="DO63" i="3"/>
  <c r="DN63" i="3"/>
  <c r="DM63" i="3"/>
  <c r="DL63" i="3"/>
  <c r="DK63" i="3"/>
  <c r="DJ63" i="3"/>
  <c r="DI63" i="3"/>
  <c r="DH63" i="3"/>
  <c r="DG63" i="3"/>
  <c r="DF63" i="3"/>
  <c r="DE63" i="3"/>
  <c r="DD63" i="3"/>
  <c r="DC63" i="3"/>
  <c r="DB63" i="3"/>
  <c r="DA63" i="3"/>
  <c r="CZ63" i="3"/>
  <c r="CY63" i="3"/>
  <c r="CX63" i="3"/>
  <c r="CW63" i="3"/>
  <c r="CV63" i="3"/>
  <c r="CU63" i="3"/>
  <c r="CT63" i="3"/>
  <c r="CS63" i="3"/>
  <c r="CR63" i="3"/>
  <c r="CQ63" i="3"/>
  <c r="CP63" i="3"/>
  <c r="CO63" i="3"/>
  <c r="CN63" i="3"/>
  <c r="CM63" i="3"/>
  <c r="CL63" i="3"/>
  <c r="CK63" i="3"/>
  <c r="CJ63" i="3"/>
  <c r="CI63" i="3"/>
  <c r="CH63" i="3"/>
  <c r="CG63" i="3"/>
  <c r="CF63" i="3"/>
  <c r="CE63" i="3"/>
  <c r="CD63" i="3"/>
  <c r="CC63" i="3"/>
  <c r="CB63" i="3"/>
  <c r="CA63" i="3"/>
  <c r="BZ63" i="3"/>
  <c r="BY63" i="3"/>
  <c r="BX63" i="3"/>
  <c r="BW63" i="3"/>
  <c r="BV63" i="3"/>
  <c r="BU63" i="3"/>
  <c r="BT63" i="3"/>
  <c r="BS63" i="3"/>
  <c r="BR63" i="3"/>
  <c r="BQ63" i="3"/>
  <c r="BP63" i="3"/>
  <c r="BO63" i="3"/>
  <c r="BN63" i="3"/>
  <c r="BM63" i="3"/>
  <c r="BL63" i="3"/>
  <c r="BK63" i="3"/>
  <c r="BJ63" i="3"/>
  <c r="BI63" i="3"/>
  <c r="BH63" i="3"/>
  <c r="BG63" i="3"/>
  <c r="BF63" i="3"/>
  <c r="BE63" i="3"/>
  <c r="BD63" i="3"/>
  <c r="BC63" i="3"/>
  <c r="BB63" i="3"/>
  <c r="BA63" i="3"/>
  <c r="AZ63" i="3"/>
  <c r="AY63" i="3"/>
  <c r="AX63" i="3"/>
  <c r="AW63" i="3"/>
  <c r="AV63" i="3"/>
  <c r="AU63" i="3"/>
  <c r="AT63" i="3"/>
  <c r="AS63" i="3"/>
  <c r="AR63" i="3"/>
  <c r="AQ63" i="3"/>
  <c r="AP63" i="3"/>
  <c r="AO63" i="3"/>
  <c r="AN63" i="3"/>
  <c r="AM63" i="3"/>
  <c r="AL63" i="3"/>
  <c r="AK63" i="3"/>
  <c r="AJ63" i="3"/>
  <c r="AI63" i="3"/>
  <c r="AH63" i="3"/>
  <c r="AG63" i="3"/>
  <c r="AF63" i="3"/>
  <c r="AE63" i="3"/>
  <c r="AD63" i="3"/>
  <c r="AC63" i="3"/>
  <c r="AB63" i="3"/>
  <c r="AA63" i="3"/>
  <c r="Z63" i="3"/>
  <c r="Y63" i="3"/>
  <c r="X63" i="3"/>
  <c r="W63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D63" i="3"/>
  <c r="C63" i="3"/>
  <c r="B63" i="3"/>
  <c r="EL62" i="3"/>
  <c r="EK62" i="3"/>
  <c r="EJ62" i="3"/>
  <c r="EI62" i="3"/>
  <c r="EH62" i="3"/>
  <c r="EG62" i="3"/>
  <c r="EF62" i="3"/>
  <c r="EE62" i="3"/>
  <c r="ED62" i="3"/>
  <c r="EC62" i="3"/>
  <c r="EB62" i="3"/>
  <c r="EA62" i="3"/>
  <c r="DZ62" i="3"/>
  <c r="DY62" i="3"/>
  <c r="DX62" i="3"/>
  <c r="DW62" i="3"/>
  <c r="DV62" i="3"/>
  <c r="DU62" i="3"/>
  <c r="DT62" i="3"/>
  <c r="DS62" i="3"/>
  <c r="DR62" i="3"/>
  <c r="DQ62" i="3"/>
  <c r="DP62" i="3"/>
  <c r="DO62" i="3"/>
  <c r="DN62" i="3"/>
  <c r="DM62" i="3"/>
  <c r="DL62" i="3"/>
  <c r="DK62" i="3"/>
  <c r="DJ62" i="3"/>
  <c r="DI62" i="3"/>
  <c r="DH62" i="3"/>
  <c r="DG62" i="3"/>
  <c r="DF62" i="3"/>
  <c r="DE62" i="3"/>
  <c r="DD62" i="3"/>
  <c r="DC62" i="3"/>
  <c r="DB62" i="3"/>
  <c r="DA62" i="3"/>
  <c r="CZ62" i="3"/>
  <c r="CY62" i="3"/>
  <c r="CX62" i="3"/>
  <c r="CW62" i="3"/>
  <c r="CV62" i="3"/>
  <c r="CU62" i="3"/>
  <c r="CT62" i="3"/>
  <c r="CS62" i="3"/>
  <c r="CR62" i="3"/>
  <c r="CQ62" i="3"/>
  <c r="CP62" i="3"/>
  <c r="CO62" i="3"/>
  <c r="CN62" i="3"/>
  <c r="CM62" i="3"/>
  <c r="CL62" i="3"/>
  <c r="CK62" i="3"/>
  <c r="CJ62" i="3"/>
  <c r="CI62" i="3"/>
  <c r="CH62" i="3"/>
  <c r="CG62" i="3"/>
  <c r="CF62" i="3"/>
  <c r="CE62" i="3"/>
  <c r="CD62" i="3"/>
  <c r="CC62" i="3"/>
  <c r="CB62" i="3"/>
  <c r="CA62" i="3"/>
  <c r="BZ62" i="3"/>
  <c r="BY62" i="3"/>
  <c r="BX62" i="3"/>
  <c r="BW62" i="3"/>
  <c r="BV62" i="3"/>
  <c r="BU62" i="3"/>
  <c r="BT62" i="3"/>
  <c r="BS62" i="3"/>
  <c r="BR62" i="3"/>
  <c r="BQ62" i="3"/>
  <c r="BP62" i="3"/>
  <c r="BO62" i="3"/>
  <c r="BN62" i="3"/>
  <c r="BM62" i="3"/>
  <c r="BL62" i="3"/>
  <c r="BK62" i="3"/>
  <c r="BJ62" i="3"/>
  <c r="BI62" i="3"/>
  <c r="BH62" i="3"/>
  <c r="BG62" i="3"/>
  <c r="BF62" i="3"/>
  <c r="BE62" i="3"/>
  <c r="BD62" i="3"/>
  <c r="BC62" i="3"/>
  <c r="BB62" i="3"/>
  <c r="BA62" i="3"/>
  <c r="AZ62" i="3"/>
  <c r="AY62" i="3"/>
  <c r="AX62" i="3"/>
  <c r="AW62" i="3"/>
  <c r="AV62" i="3"/>
  <c r="AU62" i="3"/>
  <c r="AT62" i="3"/>
  <c r="AS62" i="3"/>
  <c r="AR62" i="3"/>
  <c r="AQ62" i="3"/>
  <c r="AP62" i="3"/>
  <c r="AO62" i="3"/>
  <c r="AN62" i="3"/>
  <c r="AM62" i="3"/>
  <c r="AL62" i="3"/>
  <c r="AK62" i="3"/>
  <c r="AJ62" i="3"/>
  <c r="AI62" i="3"/>
  <c r="AH62" i="3"/>
  <c r="AG62" i="3"/>
  <c r="AF62" i="3"/>
  <c r="AE62" i="3"/>
  <c r="AD62" i="3"/>
  <c r="AC62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D62" i="3"/>
  <c r="C62" i="3"/>
  <c r="B62" i="3"/>
  <c r="EL61" i="3"/>
  <c r="EK61" i="3"/>
  <c r="EJ61" i="3"/>
  <c r="EI61" i="3"/>
  <c r="EH61" i="3"/>
  <c r="EG61" i="3"/>
  <c r="EF61" i="3"/>
  <c r="EE61" i="3"/>
  <c r="ED61" i="3"/>
  <c r="EC61" i="3"/>
  <c r="EB61" i="3"/>
  <c r="EA61" i="3"/>
  <c r="DZ61" i="3"/>
  <c r="DY61" i="3"/>
  <c r="DX61" i="3"/>
  <c r="DW61" i="3"/>
  <c r="DV61" i="3"/>
  <c r="DU61" i="3"/>
  <c r="DT61" i="3"/>
  <c r="DS61" i="3"/>
  <c r="DR61" i="3"/>
  <c r="DQ61" i="3"/>
  <c r="DP61" i="3"/>
  <c r="DO61" i="3"/>
  <c r="DN61" i="3"/>
  <c r="DM61" i="3"/>
  <c r="DL61" i="3"/>
  <c r="DK61" i="3"/>
  <c r="DJ61" i="3"/>
  <c r="DI61" i="3"/>
  <c r="DH61" i="3"/>
  <c r="DG61" i="3"/>
  <c r="DF61" i="3"/>
  <c r="DE61" i="3"/>
  <c r="DD61" i="3"/>
  <c r="DC61" i="3"/>
  <c r="DB61" i="3"/>
  <c r="DA61" i="3"/>
  <c r="CZ61" i="3"/>
  <c r="CY61" i="3"/>
  <c r="CX61" i="3"/>
  <c r="CW61" i="3"/>
  <c r="CV61" i="3"/>
  <c r="CU61" i="3"/>
  <c r="CT61" i="3"/>
  <c r="CS61" i="3"/>
  <c r="CR61" i="3"/>
  <c r="CQ61" i="3"/>
  <c r="CP61" i="3"/>
  <c r="CO61" i="3"/>
  <c r="CN61" i="3"/>
  <c r="CM61" i="3"/>
  <c r="CL61" i="3"/>
  <c r="CK61" i="3"/>
  <c r="CJ61" i="3"/>
  <c r="CI61" i="3"/>
  <c r="CH61" i="3"/>
  <c r="CG61" i="3"/>
  <c r="CF61" i="3"/>
  <c r="CE61" i="3"/>
  <c r="CD61" i="3"/>
  <c r="CC61" i="3"/>
  <c r="CB61" i="3"/>
  <c r="CA61" i="3"/>
  <c r="BZ61" i="3"/>
  <c r="BY61" i="3"/>
  <c r="BX61" i="3"/>
  <c r="BW61" i="3"/>
  <c r="BV61" i="3"/>
  <c r="BU61" i="3"/>
  <c r="BT61" i="3"/>
  <c r="BS61" i="3"/>
  <c r="BR61" i="3"/>
  <c r="BQ61" i="3"/>
  <c r="BP61" i="3"/>
  <c r="BO61" i="3"/>
  <c r="BN61" i="3"/>
  <c r="BM61" i="3"/>
  <c r="BL61" i="3"/>
  <c r="BK61" i="3"/>
  <c r="BJ61" i="3"/>
  <c r="BI61" i="3"/>
  <c r="BH61" i="3"/>
  <c r="BG61" i="3"/>
  <c r="BF61" i="3"/>
  <c r="BE61" i="3"/>
  <c r="BD61" i="3"/>
  <c r="BC61" i="3"/>
  <c r="BB61" i="3"/>
  <c r="BA61" i="3"/>
  <c r="AZ61" i="3"/>
  <c r="AY61" i="3"/>
  <c r="AX61" i="3"/>
  <c r="AW61" i="3"/>
  <c r="AV61" i="3"/>
  <c r="AU61" i="3"/>
  <c r="AT61" i="3"/>
  <c r="AS61" i="3"/>
  <c r="AR61" i="3"/>
  <c r="AQ61" i="3"/>
  <c r="AP61" i="3"/>
  <c r="AO61" i="3"/>
  <c r="AN61" i="3"/>
  <c r="AM61" i="3"/>
  <c r="AL61" i="3"/>
  <c r="AK61" i="3"/>
  <c r="AJ61" i="3"/>
  <c r="AI61" i="3"/>
  <c r="AH61" i="3"/>
  <c r="AG61" i="3"/>
  <c r="AF61" i="3"/>
  <c r="AE61" i="3"/>
  <c r="AD61" i="3"/>
  <c r="AC61" i="3"/>
  <c r="AB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D61" i="3"/>
  <c r="C61" i="3"/>
  <c r="B61" i="3"/>
  <c r="EL60" i="3"/>
  <c r="EK60" i="3"/>
  <c r="EJ60" i="3"/>
  <c r="EI60" i="3"/>
  <c r="EH60" i="3"/>
  <c r="EG60" i="3"/>
  <c r="EF60" i="3"/>
  <c r="EE60" i="3"/>
  <c r="ED60" i="3"/>
  <c r="EC60" i="3"/>
  <c r="EB60" i="3"/>
  <c r="EA60" i="3"/>
  <c r="DZ60" i="3"/>
  <c r="DY60" i="3"/>
  <c r="DX60" i="3"/>
  <c r="DW60" i="3"/>
  <c r="DV60" i="3"/>
  <c r="DU60" i="3"/>
  <c r="DT60" i="3"/>
  <c r="DS60" i="3"/>
  <c r="DR60" i="3"/>
  <c r="DQ60" i="3"/>
  <c r="DP60" i="3"/>
  <c r="DO60" i="3"/>
  <c r="DN60" i="3"/>
  <c r="DM60" i="3"/>
  <c r="DL60" i="3"/>
  <c r="DK60" i="3"/>
  <c r="DJ60" i="3"/>
  <c r="DI60" i="3"/>
  <c r="DH60" i="3"/>
  <c r="DG60" i="3"/>
  <c r="DF60" i="3"/>
  <c r="DE60" i="3"/>
  <c r="DD60" i="3"/>
  <c r="DC60" i="3"/>
  <c r="DB60" i="3"/>
  <c r="DA60" i="3"/>
  <c r="CZ60" i="3"/>
  <c r="CY60" i="3"/>
  <c r="CX60" i="3"/>
  <c r="CW60" i="3"/>
  <c r="CV60" i="3"/>
  <c r="CU60" i="3"/>
  <c r="CT60" i="3"/>
  <c r="CS60" i="3"/>
  <c r="CR60" i="3"/>
  <c r="CQ60" i="3"/>
  <c r="CP60" i="3"/>
  <c r="CO60" i="3"/>
  <c r="CN60" i="3"/>
  <c r="CM60" i="3"/>
  <c r="CL60" i="3"/>
  <c r="CK60" i="3"/>
  <c r="CJ60" i="3"/>
  <c r="CI60" i="3"/>
  <c r="CH60" i="3"/>
  <c r="CG60" i="3"/>
  <c r="CF60" i="3"/>
  <c r="CE60" i="3"/>
  <c r="CD60" i="3"/>
  <c r="CC60" i="3"/>
  <c r="CB60" i="3"/>
  <c r="CA60" i="3"/>
  <c r="BZ60" i="3"/>
  <c r="BY60" i="3"/>
  <c r="BX60" i="3"/>
  <c r="BW60" i="3"/>
  <c r="BV60" i="3"/>
  <c r="BU60" i="3"/>
  <c r="BT60" i="3"/>
  <c r="BS60" i="3"/>
  <c r="BR60" i="3"/>
  <c r="BQ60" i="3"/>
  <c r="BP60" i="3"/>
  <c r="BO60" i="3"/>
  <c r="BN60" i="3"/>
  <c r="BM60" i="3"/>
  <c r="BL60" i="3"/>
  <c r="BK60" i="3"/>
  <c r="BJ60" i="3"/>
  <c r="BI60" i="3"/>
  <c r="BH60" i="3"/>
  <c r="BG60" i="3"/>
  <c r="BF60" i="3"/>
  <c r="BE60" i="3"/>
  <c r="BD60" i="3"/>
  <c r="BC60" i="3"/>
  <c r="BB60" i="3"/>
  <c r="BA60" i="3"/>
  <c r="AZ60" i="3"/>
  <c r="AY60" i="3"/>
  <c r="AX60" i="3"/>
  <c r="AW60" i="3"/>
  <c r="AV60" i="3"/>
  <c r="AU60" i="3"/>
  <c r="AT60" i="3"/>
  <c r="AS60" i="3"/>
  <c r="AR60" i="3"/>
  <c r="AQ60" i="3"/>
  <c r="AP60" i="3"/>
  <c r="AO60" i="3"/>
  <c r="AN60" i="3"/>
  <c r="AM60" i="3"/>
  <c r="AL60" i="3"/>
  <c r="AK60" i="3"/>
  <c r="AJ60" i="3"/>
  <c r="AI60" i="3"/>
  <c r="AH60" i="3"/>
  <c r="AG60" i="3"/>
  <c r="AF60" i="3"/>
  <c r="AE60" i="3"/>
  <c r="AD60" i="3"/>
  <c r="AC60" i="3"/>
  <c r="AB60" i="3"/>
  <c r="AA60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D60" i="3"/>
  <c r="C60" i="3"/>
  <c r="B60" i="3"/>
  <c r="EL59" i="3"/>
  <c r="EK59" i="3"/>
  <c r="EJ59" i="3"/>
  <c r="EI59" i="3"/>
  <c r="EH59" i="3"/>
  <c r="EG59" i="3"/>
  <c r="EF59" i="3"/>
  <c r="EE59" i="3"/>
  <c r="ED59" i="3"/>
  <c r="EC59" i="3"/>
  <c r="EB59" i="3"/>
  <c r="EA59" i="3"/>
  <c r="DZ59" i="3"/>
  <c r="DY59" i="3"/>
  <c r="DX59" i="3"/>
  <c r="DW59" i="3"/>
  <c r="DV59" i="3"/>
  <c r="DU59" i="3"/>
  <c r="DT59" i="3"/>
  <c r="DS59" i="3"/>
  <c r="DR59" i="3"/>
  <c r="DQ59" i="3"/>
  <c r="DP59" i="3"/>
  <c r="DO59" i="3"/>
  <c r="DN59" i="3"/>
  <c r="DM59" i="3"/>
  <c r="DL59" i="3"/>
  <c r="DK59" i="3"/>
  <c r="DJ59" i="3"/>
  <c r="DI59" i="3"/>
  <c r="DH59" i="3"/>
  <c r="DG59" i="3"/>
  <c r="DF59" i="3"/>
  <c r="DE59" i="3"/>
  <c r="DD59" i="3"/>
  <c r="DC59" i="3"/>
  <c r="DB59" i="3"/>
  <c r="DA59" i="3"/>
  <c r="CZ59" i="3"/>
  <c r="CY59" i="3"/>
  <c r="CX59" i="3"/>
  <c r="CW59" i="3"/>
  <c r="CV59" i="3"/>
  <c r="CU59" i="3"/>
  <c r="CT59" i="3"/>
  <c r="CS59" i="3"/>
  <c r="CR59" i="3"/>
  <c r="CQ59" i="3"/>
  <c r="CP59" i="3"/>
  <c r="CO59" i="3"/>
  <c r="CN59" i="3"/>
  <c r="CM59" i="3"/>
  <c r="CL59" i="3"/>
  <c r="CK59" i="3"/>
  <c r="CJ59" i="3"/>
  <c r="CI59" i="3"/>
  <c r="CH59" i="3"/>
  <c r="CG59" i="3"/>
  <c r="CF59" i="3"/>
  <c r="CE59" i="3"/>
  <c r="CD59" i="3"/>
  <c r="CC59" i="3"/>
  <c r="CB59" i="3"/>
  <c r="CA59" i="3"/>
  <c r="BZ59" i="3"/>
  <c r="BY59" i="3"/>
  <c r="BX59" i="3"/>
  <c r="BW59" i="3"/>
  <c r="BV59" i="3"/>
  <c r="BU59" i="3"/>
  <c r="BT59" i="3"/>
  <c r="BS59" i="3"/>
  <c r="BR59" i="3"/>
  <c r="BQ59" i="3"/>
  <c r="BP59" i="3"/>
  <c r="BO59" i="3"/>
  <c r="BN59" i="3"/>
  <c r="BM59" i="3"/>
  <c r="BL59" i="3"/>
  <c r="BK59" i="3"/>
  <c r="BJ59" i="3"/>
  <c r="BI59" i="3"/>
  <c r="BH59" i="3"/>
  <c r="BG59" i="3"/>
  <c r="BF59" i="3"/>
  <c r="BE59" i="3"/>
  <c r="BD59" i="3"/>
  <c r="BC59" i="3"/>
  <c r="BB59" i="3"/>
  <c r="BA59" i="3"/>
  <c r="AZ59" i="3"/>
  <c r="AY59" i="3"/>
  <c r="AX59" i="3"/>
  <c r="AW59" i="3"/>
  <c r="AV59" i="3"/>
  <c r="AU59" i="3"/>
  <c r="AT59" i="3"/>
  <c r="AS59" i="3"/>
  <c r="AR59" i="3"/>
  <c r="AQ59" i="3"/>
  <c r="AP59" i="3"/>
  <c r="AO59" i="3"/>
  <c r="AN59" i="3"/>
  <c r="AM59" i="3"/>
  <c r="AL59" i="3"/>
  <c r="AK59" i="3"/>
  <c r="AJ59" i="3"/>
  <c r="AI59" i="3"/>
  <c r="AH59" i="3"/>
  <c r="AG59" i="3"/>
  <c r="AF59" i="3"/>
  <c r="AE59" i="3"/>
  <c r="AD59" i="3"/>
  <c r="AC59" i="3"/>
  <c r="AB59" i="3"/>
  <c r="AA59" i="3"/>
  <c r="Z59" i="3"/>
  <c r="Y59" i="3"/>
  <c r="X59" i="3"/>
  <c r="W59" i="3"/>
  <c r="V59" i="3"/>
  <c r="U59" i="3"/>
  <c r="T59" i="3"/>
  <c r="S59" i="3"/>
  <c r="R59" i="3"/>
  <c r="Q59" i="3"/>
  <c r="P59" i="3"/>
  <c r="O59" i="3"/>
  <c r="N59" i="3"/>
  <c r="M59" i="3"/>
  <c r="L59" i="3"/>
  <c r="K59" i="3"/>
  <c r="J59" i="3"/>
  <c r="I59" i="3"/>
  <c r="H59" i="3"/>
  <c r="D59" i="3"/>
  <c r="C59" i="3"/>
  <c r="B59" i="3"/>
  <c r="EL58" i="3"/>
  <c r="EK58" i="3"/>
  <c r="EJ58" i="3"/>
  <c r="EI58" i="3"/>
  <c r="EH58" i="3"/>
  <c r="EG58" i="3"/>
  <c r="EF58" i="3"/>
  <c r="EE58" i="3"/>
  <c r="ED58" i="3"/>
  <c r="EC58" i="3"/>
  <c r="EB58" i="3"/>
  <c r="EA58" i="3"/>
  <c r="DZ58" i="3"/>
  <c r="DY58" i="3"/>
  <c r="DX58" i="3"/>
  <c r="DW58" i="3"/>
  <c r="DV58" i="3"/>
  <c r="DU58" i="3"/>
  <c r="DT58" i="3"/>
  <c r="DS58" i="3"/>
  <c r="DR58" i="3"/>
  <c r="DQ58" i="3"/>
  <c r="DP58" i="3"/>
  <c r="DO58" i="3"/>
  <c r="DN58" i="3"/>
  <c r="DM58" i="3"/>
  <c r="DL58" i="3"/>
  <c r="DK58" i="3"/>
  <c r="DJ58" i="3"/>
  <c r="DI58" i="3"/>
  <c r="DH58" i="3"/>
  <c r="DG58" i="3"/>
  <c r="DF58" i="3"/>
  <c r="DE58" i="3"/>
  <c r="DD58" i="3"/>
  <c r="DC58" i="3"/>
  <c r="DB58" i="3"/>
  <c r="DA58" i="3"/>
  <c r="CZ58" i="3"/>
  <c r="CY58" i="3"/>
  <c r="CX58" i="3"/>
  <c r="CW58" i="3"/>
  <c r="CV58" i="3"/>
  <c r="CU58" i="3"/>
  <c r="CT58" i="3"/>
  <c r="CS58" i="3"/>
  <c r="CR58" i="3"/>
  <c r="CQ58" i="3"/>
  <c r="CP58" i="3"/>
  <c r="CO58" i="3"/>
  <c r="CN58" i="3"/>
  <c r="CM58" i="3"/>
  <c r="CL58" i="3"/>
  <c r="CK58" i="3"/>
  <c r="CJ58" i="3"/>
  <c r="CI58" i="3"/>
  <c r="CH58" i="3"/>
  <c r="CG58" i="3"/>
  <c r="CF58" i="3"/>
  <c r="CE58" i="3"/>
  <c r="CD58" i="3"/>
  <c r="CC58" i="3"/>
  <c r="CB58" i="3"/>
  <c r="CA58" i="3"/>
  <c r="BZ58" i="3"/>
  <c r="BY58" i="3"/>
  <c r="BX58" i="3"/>
  <c r="BW58" i="3"/>
  <c r="BV58" i="3"/>
  <c r="BU58" i="3"/>
  <c r="BT58" i="3"/>
  <c r="BS58" i="3"/>
  <c r="BR58" i="3"/>
  <c r="BQ58" i="3"/>
  <c r="BP58" i="3"/>
  <c r="BO58" i="3"/>
  <c r="BN58" i="3"/>
  <c r="BM58" i="3"/>
  <c r="BL58" i="3"/>
  <c r="BK58" i="3"/>
  <c r="BJ58" i="3"/>
  <c r="BI58" i="3"/>
  <c r="BH58" i="3"/>
  <c r="BG58" i="3"/>
  <c r="BF58" i="3"/>
  <c r="BE58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AH58" i="3"/>
  <c r="AG58" i="3"/>
  <c r="AF58" i="3"/>
  <c r="AE58" i="3"/>
  <c r="AD58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D58" i="3"/>
  <c r="C58" i="3"/>
  <c r="B58" i="3"/>
  <c r="EL57" i="3"/>
  <c r="EK57" i="3"/>
  <c r="EJ57" i="3"/>
  <c r="EI57" i="3"/>
  <c r="EH57" i="3"/>
  <c r="EG57" i="3"/>
  <c r="EF57" i="3"/>
  <c r="EE57" i="3"/>
  <c r="ED57" i="3"/>
  <c r="EC57" i="3"/>
  <c r="EB57" i="3"/>
  <c r="EA57" i="3"/>
  <c r="DZ57" i="3"/>
  <c r="DY57" i="3"/>
  <c r="DX57" i="3"/>
  <c r="DW57" i="3"/>
  <c r="DV57" i="3"/>
  <c r="DU57" i="3"/>
  <c r="DT57" i="3"/>
  <c r="DS57" i="3"/>
  <c r="DR57" i="3"/>
  <c r="DQ57" i="3"/>
  <c r="DP57" i="3"/>
  <c r="DO57" i="3"/>
  <c r="DN57" i="3"/>
  <c r="DM57" i="3"/>
  <c r="DL57" i="3"/>
  <c r="DK57" i="3"/>
  <c r="DJ57" i="3"/>
  <c r="DI57" i="3"/>
  <c r="DH57" i="3"/>
  <c r="DG57" i="3"/>
  <c r="DF57" i="3"/>
  <c r="DE57" i="3"/>
  <c r="DD57" i="3"/>
  <c r="DC57" i="3"/>
  <c r="DB57" i="3"/>
  <c r="DA57" i="3"/>
  <c r="CZ57" i="3"/>
  <c r="CY57" i="3"/>
  <c r="CX57" i="3"/>
  <c r="CW57" i="3"/>
  <c r="CV57" i="3"/>
  <c r="CU57" i="3"/>
  <c r="CT57" i="3"/>
  <c r="CS57" i="3"/>
  <c r="CR57" i="3"/>
  <c r="CQ57" i="3"/>
  <c r="CP57" i="3"/>
  <c r="CO57" i="3"/>
  <c r="CN57" i="3"/>
  <c r="CM57" i="3"/>
  <c r="CL57" i="3"/>
  <c r="CK57" i="3"/>
  <c r="CJ57" i="3"/>
  <c r="CI57" i="3"/>
  <c r="CH57" i="3"/>
  <c r="CG57" i="3"/>
  <c r="CF57" i="3"/>
  <c r="CE57" i="3"/>
  <c r="CD57" i="3"/>
  <c r="CC57" i="3"/>
  <c r="CB57" i="3"/>
  <c r="CA57" i="3"/>
  <c r="BZ57" i="3"/>
  <c r="BY57" i="3"/>
  <c r="BX57" i="3"/>
  <c r="BW57" i="3"/>
  <c r="BV57" i="3"/>
  <c r="BU57" i="3"/>
  <c r="BT57" i="3"/>
  <c r="BS57" i="3"/>
  <c r="BR57" i="3"/>
  <c r="BQ57" i="3"/>
  <c r="BP57" i="3"/>
  <c r="BO57" i="3"/>
  <c r="BN57" i="3"/>
  <c r="BM57" i="3"/>
  <c r="BL57" i="3"/>
  <c r="BK57" i="3"/>
  <c r="BJ57" i="3"/>
  <c r="BI57" i="3"/>
  <c r="BH57" i="3"/>
  <c r="BG57" i="3"/>
  <c r="BF57" i="3"/>
  <c r="BE57" i="3"/>
  <c r="BD57" i="3"/>
  <c r="BC57" i="3"/>
  <c r="BB57" i="3"/>
  <c r="BA57" i="3"/>
  <c r="AZ57" i="3"/>
  <c r="AY57" i="3"/>
  <c r="AX57" i="3"/>
  <c r="AW57" i="3"/>
  <c r="AV57" i="3"/>
  <c r="AU57" i="3"/>
  <c r="AT57" i="3"/>
  <c r="AS57" i="3"/>
  <c r="AR57" i="3"/>
  <c r="AQ57" i="3"/>
  <c r="AP57" i="3"/>
  <c r="AO57" i="3"/>
  <c r="AN57" i="3"/>
  <c r="AM57" i="3"/>
  <c r="AL57" i="3"/>
  <c r="AK57" i="3"/>
  <c r="AJ57" i="3"/>
  <c r="AI57" i="3"/>
  <c r="AH57" i="3"/>
  <c r="AG57" i="3"/>
  <c r="AF57" i="3"/>
  <c r="AE57" i="3"/>
  <c r="AD57" i="3"/>
  <c r="AC57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D57" i="3"/>
  <c r="C57" i="3"/>
  <c r="B57" i="3"/>
  <c r="EL56" i="3"/>
  <c r="EK56" i="3"/>
  <c r="EJ56" i="3"/>
  <c r="EI56" i="3"/>
  <c r="EH56" i="3"/>
  <c r="EG56" i="3"/>
  <c r="EF56" i="3"/>
  <c r="EE56" i="3"/>
  <c r="ED56" i="3"/>
  <c r="EC56" i="3"/>
  <c r="EB56" i="3"/>
  <c r="EA56" i="3"/>
  <c r="DZ56" i="3"/>
  <c r="DY56" i="3"/>
  <c r="DX56" i="3"/>
  <c r="DW56" i="3"/>
  <c r="DV56" i="3"/>
  <c r="DU56" i="3"/>
  <c r="DT56" i="3"/>
  <c r="DS56" i="3"/>
  <c r="DR56" i="3"/>
  <c r="DQ56" i="3"/>
  <c r="DP56" i="3"/>
  <c r="DO56" i="3"/>
  <c r="DN56" i="3"/>
  <c r="DM56" i="3"/>
  <c r="DL56" i="3"/>
  <c r="DK56" i="3"/>
  <c r="DJ56" i="3"/>
  <c r="DI56" i="3"/>
  <c r="DH56" i="3"/>
  <c r="DG56" i="3"/>
  <c r="DF56" i="3"/>
  <c r="DE56" i="3"/>
  <c r="DD56" i="3"/>
  <c r="DC56" i="3"/>
  <c r="DB56" i="3"/>
  <c r="DA56" i="3"/>
  <c r="CZ56" i="3"/>
  <c r="CY56" i="3"/>
  <c r="CX56" i="3"/>
  <c r="CW56" i="3"/>
  <c r="CV56" i="3"/>
  <c r="CU56" i="3"/>
  <c r="CT56" i="3"/>
  <c r="CS56" i="3"/>
  <c r="CR56" i="3"/>
  <c r="CQ56" i="3"/>
  <c r="CP56" i="3"/>
  <c r="CO56" i="3"/>
  <c r="CN56" i="3"/>
  <c r="CM56" i="3"/>
  <c r="CL56" i="3"/>
  <c r="CK56" i="3"/>
  <c r="CJ56" i="3"/>
  <c r="CI56" i="3"/>
  <c r="CH56" i="3"/>
  <c r="CG56" i="3"/>
  <c r="CF56" i="3"/>
  <c r="CE56" i="3"/>
  <c r="CD56" i="3"/>
  <c r="CC56" i="3"/>
  <c r="CB56" i="3"/>
  <c r="CA56" i="3"/>
  <c r="BZ56" i="3"/>
  <c r="BY56" i="3"/>
  <c r="BX56" i="3"/>
  <c r="BW56" i="3"/>
  <c r="BV56" i="3"/>
  <c r="BU56" i="3"/>
  <c r="BT56" i="3"/>
  <c r="BS56" i="3"/>
  <c r="BR56" i="3"/>
  <c r="BQ56" i="3"/>
  <c r="BP56" i="3"/>
  <c r="BO56" i="3"/>
  <c r="BN56" i="3"/>
  <c r="BM56" i="3"/>
  <c r="BL56" i="3"/>
  <c r="BK56" i="3"/>
  <c r="BJ56" i="3"/>
  <c r="BI56" i="3"/>
  <c r="BH56" i="3"/>
  <c r="BG56" i="3"/>
  <c r="BF56" i="3"/>
  <c r="BE56" i="3"/>
  <c r="BD56" i="3"/>
  <c r="BC56" i="3"/>
  <c r="BB56" i="3"/>
  <c r="BA56" i="3"/>
  <c r="AZ56" i="3"/>
  <c r="AY56" i="3"/>
  <c r="AX56" i="3"/>
  <c r="AW56" i="3"/>
  <c r="AV56" i="3"/>
  <c r="AU56" i="3"/>
  <c r="AT56" i="3"/>
  <c r="AS56" i="3"/>
  <c r="AR56" i="3"/>
  <c r="AQ56" i="3"/>
  <c r="AP56" i="3"/>
  <c r="AO56" i="3"/>
  <c r="AN56" i="3"/>
  <c r="AM56" i="3"/>
  <c r="AL56" i="3"/>
  <c r="AK56" i="3"/>
  <c r="AJ56" i="3"/>
  <c r="AI56" i="3"/>
  <c r="AH56" i="3"/>
  <c r="AG56" i="3"/>
  <c r="AF56" i="3"/>
  <c r="AE56" i="3"/>
  <c r="AD56" i="3"/>
  <c r="AC56" i="3"/>
  <c r="AB56" i="3"/>
  <c r="AA56" i="3"/>
  <c r="Z56" i="3"/>
  <c r="Y56" i="3"/>
  <c r="X56" i="3"/>
  <c r="W56" i="3"/>
  <c r="V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D56" i="3"/>
  <c r="C56" i="3"/>
  <c r="B56" i="3"/>
  <c r="EL55" i="3"/>
  <c r="EK55" i="3"/>
  <c r="EJ55" i="3"/>
  <c r="EI55" i="3"/>
  <c r="EH55" i="3"/>
  <c r="EG55" i="3"/>
  <c r="EF55" i="3"/>
  <c r="EE55" i="3"/>
  <c r="ED55" i="3"/>
  <c r="EC55" i="3"/>
  <c r="EB55" i="3"/>
  <c r="EA55" i="3"/>
  <c r="DZ55" i="3"/>
  <c r="DY55" i="3"/>
  <c r="DX55" i="3"/>
  <c r="DW55" i="3"/>
  <c r="DV55" i="3"/>
  <c r="DU55" i="3"/>
  <c r="DT55" i="3"/>
  <c r="DS55" i="3"/>
  <c r="DR55" i="3"/>
  <c r="DQ55" i="3"/>
  <c r="DP55" i="3"/>
  <c r="DO55" i="3"/>
  <c r="DN55" i="3"/>
  <c r="DM55" i="3"/>
  <c r="DL55" i="3"/>
  <c r="DK55" i="3"/>
  <c r="DJ55" i="3"/>
  <c r="DI55" i="3"/>
  <c r="DH55" i="3"/>
  <c r="DG55" i="3"/>
  <c r="DF55" i="3"/>
  <c r="DE55" i="3"/>
  <c r="DD55" i="3"/>
  <c r="DC55" i="3"/>
  <c r="DB55" i="3"/>
  <c r="DA55" i="3"/>
  <c r="CZ55" i="3"/>
  <c r="CY55" i="3"/>
  <c r="CX55" i="3"/>
  <c r="CW55" i="3"/>
  <c r="CV55" i="3"/>
  <c r="CU55" i="3"/>
  <c r="CT55" i="3"/>
  <c r="CS55" i="3"/>
  <c r="CR55" i="3"/>
  <c r="CQ55" i="3"/>
  <c r="CP55" i="3"/>
  <c r="CO55" i="3"/>
  <c r="CN55" i="3"/>
  <c r="CM55" i="3"/>
  <c r="CL55" i="3"/>
  <c r="CK55" i="3"/>
  <c r="CJ55" i="3"/>
  <c r="CI55" i="3"/>
  <c r="CH55" i="3"/>
  <c r="CG55" i="3"/>
  <c r="CF55" i="3"/>
  <c r="CE55" i="3"/>
  <c r="CD55" i="3"/>
  <c r="CC55" i="3"/>
  <c r="CB55" i="3"/>
  <c r="CA55" i="3"/>
  <c r="BZ55" i="3"/>
  <c r="BY55" i="3"/>
  <c r="BX55" i="3"/>
  <c r="BW55" i="3"/>
  <c r="BV55" i="3"/>
  <c r="BU55" i="3"/>
  <c r="BT55" i="3"/>
  <c r="BS55" i="3"/>
  <c r="BR55" i="3"/>
  <c r="BQ55" i="3"/>
  <c r="BP55" i="3"/>
  <c r="BO55" i="3"/>
  <c r="BN55" i="3"/>
  <c r="BM55" i="3"/>
  <c r="BL55" i="3"/>
  <c r="BK55" i="3"/>
  <c r="BJ55" i="3"/>
  <c r="BI55" i="3"/>
  <c r="BH55" i="3"/>
  <c r="BG55" i="3"/>
  <c r="BF55" i="3"/>
  <c r="BE55" i="3"/>
  <c r="BD55" i="3"/>
  <c r="BC55" i="3"/>
  <c r="BB55" i="3"/>
  <c r="BA55" i="3"/>
  <c r="AZ55" i="3"/>
  <c r="AY55" i="3"/>
  <c r="AX55" i="3"/>
  <c r="AW55" i="3"/>
  <c r="AV55" i="3"/>
  <c r="AU55" i="3"/>
  <c r="AT55" i="3"/>
  <c r="AS55" i="3"/>
  <c r="AR55" i="3"/>
  <c r="AQ55" i="3"/>
  <c r="AP55" i="3"/>
  <c r="AO55" i="3"/>
  <c r="AN55" i="3"/>
  <c r="AM55" i="3"/>
  <c r="AL55" i="3"/>
  <c r="AK55" i="3"/>
  <c r="AJ55" i="3"/>
  <c r="AI55" i="3"/>
  <c r="AH55" i="3"/>
  <c r="AG55" i="3"/>
  <c r="AF55" i="3"/>
  <c r="AE55" i="3"/>
  <c r="AD55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D55" i="3"/>
  <c r="C55" i="3"/>
  <c r="B55" i="3"/>
  <c r="EL54" i="3"/>
  <c r="EK54" i="3"/>
  <c r="EJ54" i="3"/>
  <c r="EI54" i="3"/>
  <c r="EH54" i="3"/>
  <c r="EG54" i="3"/>
  <c r="EF54" i="3"/>
  <c r="EE54" i="3"/>
  <c r="ED54" i="3"/>
  <c r="EC54" i="3"/>
  <c r="EB54" i="3"/>
  <c r="EA54" i="3"/>
  <c r="DZ54" i="3"/>
  <c r="DY54" i="3"/>
  <c r="DX54" i="3"/>
  <c r="DW54" i="3"/>
  <c r="DV54" i="3"/>
  <c r="DU54" i="3"/>
  <c r="DT54" i="3"/>
  <c r="DS54" i="3"/>
  <c r="DR54" i="3"/>
  <c r="DQ54" i="3"/>
  <c r="DP54" i="3"/>
  <c r="DO54" i="3"/>
  <c r="DN54" i="3"/>
  <c r="DM54" i="3"/>
  <c r="DL54" i="3"/>
  <c r="DK54" i="3"/>
  <c r="DJ54" i="3"/>
  <c r="DI54" i="3"/>
  <c r="DH54" i="3"/>
  <c r="DG54" i="3"/>
  <c r="DF54" i="3"/>
  <c r="DE54" i="3"/>
  <c r="DD54" i="3"/>
  <c r="DC54" i="3"/>
  <c r="DB54" i="3"/>
  <c r="DA54" i="3"/>
  <c r="CZ54" i="3"/>
  <c r="CY54" i="3"/>
  <c r="CX54" i="3"/>
  <c r="CW54" i="3"/>
  <c r="CV54" i="3"/>
  <c r="CU54" i="3"/>
  <c r="CT54" i="3"/>
  <c r="CS54" i="3"/>
  <c r="CR54" i="3"/>
  <c r="CQ54" i="3"/>
  <c r="CP54" i="3"/>
  <c r="CO54" i="3"/>
  <c r="CN54" i="3"/>
  <c r="CM54" i="3"/>
  <c r="CL54" i="3"/>
  <c r="CK54" i="3"/>
  <c r="CJ54" i="3"/>
  <c r="CI54" i="3"/>
  <c r="CH54" i="3"/>
  <c r="CG54" i="3"/>
  <c r="CF54" i="3"/>
  <c r="CE54" i="3"/>
  <c r="CD54" i="3"/>
  <c r="CC54" i="3"/>
  <c r="CB54" i="3"/>
  <c r="CA54" i="3"/>
  <c r="BZ54" i="3"/>
  <c r="BY54" i="3"/>
  <c r="BX54" i="3"/>
  <c r="BW54" i="3"/>
  <c r="BV54" i="3"/>
  <c r="BU54" i="3"/>
  <c r="BT54" i="3"/>
  <c r="BS54" i="3"/>
  <c r="BR54" i="3"/>
  <c r="BQ54" i="3"/>
  <c r="BP54" i="3"/>
  <c r="BO54" i="3"/>
  <c r="BN54" i="3"/>
  <c r="BM54" i="3"/>
  <c r="BL54" i="3"/>
  <c r="BK54" i="3"/>
  <c r="BJ54" i="3"/>
  <c r="BI54" i="3"/>
  <c r="BH54" i="3"/>
  <c r="BG54" i="3"/>
  <c r="BF54" i="3"/>
  <c r="BE54" i="3"/>
  <c r="BD54" i="3"/>
  <c r="BC54" i="3"/>
  <c r="BB54" i="3"/>
  <c r="BA54" i="3"/>
  <c r="AZ54" i="3"/>
  <c r="AY54" i="3"/>
  <c r="AX54" i="3"/>
  <c r="AW54" i="3"/>
  <c r="AV54" i="3"/>
  <c r="AU54" i="3"/>
  <c r="AT54" i="3"/>
  <c r="AS54" i="3"/>
  <c r="AR54" i="3"/>
  <c r="AQ54" i="3"/>
  <c r="AP54" i="3"/>
  <c r="AO54" i="3"/>
  <c r="AN54" i="3"/>
  <c r="AM54" i="3"/>
  <c r="AL54" i="3"/>
  <c r="AK54" i="3"/>
  <c r="AJ54" i="3"/>
  <c r="AI54" i="3"/>
  <c r="AH54" i="3"/>
  <c r="AG54" i="3"/>
  <c r="AF54" i="3"/>
  <c r="AE54" i="3"/>
  <c r="AD54" i="3"/>
  <c r="AC54" i="3"/>
  <c r="AB54" i="3"/>
  <c r="AA54" i="3"/>
  <c r="Z54" i="3"/>
  <c r="Y54" i="3"/>
  <c r="X54" i="3"/>
  <c r="W54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D54" i="3"/>
  <c r="C54" i="3"/>
  <c r="B54" i="3"/>
  <c r="EL53" i="3"/>
  <c r="EK53" i="3"/>
  <c r="EJ53" i="3"/>
  <c r="EI53" i="3"/>
  <c r="EH53" i="3"/>
  <c r="EG53" i="3"/>
  <c r="EF53" i="3"/>
  <c r="EE53" i="3"/>
  <c r="ED53" i="3"/>
  <c r="EC53" i="3"/>
  <c r="EB53" i="3"/>
  <c r="EA53" i="3"/>
  <c r="DZ53" i="3"/>
  <c r="DY53" i="3"/>
  <c r="DX53" i="3"/>
  <c r="DW53" i="3"/>
  <c r="DV53" i="3"/>
  <c r="DU53" i="3"/>
  <c r="DT53" i="3"/>
  <c r="DS53" i="3"/>
  <c r="DR53" i="3"/>
  <c r="DQ53" i="3"/>
  <c r="DP53" i="3"/>
  <c r="DO53" i="3"/>
  <c r="DN53" i="3"/>
  <c r="DM53" i="3"/>
  <c r="DL53" i="3"/>
  <c r="DK53" i="3"/>
  <c r="DJ53" i="3"/>
  <c r="DI53" i="3"/>
  <c r="DH53" i="3"/>
  <c r="DG53" i="3"/>
  <c r="DF53" i="3"/>
  <c r="DE53" i="3"/>
  <c r="DD53" i="3"/>
  <c r="DC53" i="3"/>
  <c r="DB53" i="3"/>
  <c r="DA53" i="3"/>
  <c r="CZ53" i="3"/>
  <c r="CY53" i="3"/>
  <c r="CX53" i="3"/>
  <c r="CW53" i="3"/>
  <c r="CV53" i="3"/>
  <c r="CU53" i="3"/>
  <c r="CT53" i="3"/>
  <c r="CS53" i="3"/>
  <c r="CR53" i="3"/>
  <c r="CQ53" i="3"/>
  <c r="CP53" i="3"/>
  <c r="CO53" i="3"/>
  <c r="CN53" i="3"/>
  <c r="CM53" i="3"/>
  <c r="CL53" i="3"/>
  <c r="CK53" i="3"/>
  <c r="CJ53" i="3"/>
  <c r="CI53" i="3"/>
  <c r="CH53" i="3"/>
  <c r="CG53" i="3"/>
  <c r="CF53" i="3"/>
  <c r="CE53" i="3"/>
  <c r="CD53" i="3"/>
  <c r="CC53" i="3"/>
  <c r="CB53" i="3"/>
  <c r="CA53" i="3"/>
  <c r="BZ53" i="3"/>
  <c r="BY53" i="3"/>
  <c r="BX53" i="3"/>
  <c r="BW53" i="3"/>
  <c r="BV53" i="3"/>
  <c r="BU53" i="3"/>
  <c r="BT53" i="3"/>
  <c r="BS53" i="3"/>
  <c r="BR53" i="3"/>
  <c r="BQ53" i="3"/>
  <c r="BP53" i="3"/>
  <c r="BO53" i="3"/>
  <c r="BN53" i="3"/>
  <c r="BM53" i="3"/>
  <c r="BL53" i="3"/>
  <c r="BK53" i="3"/>
  <c r="BJ53" i="3"/>
  <c r="BI53" i="3"/>
  <c r="BH53" i="3"/>
  <c r="BG53" i="3"/>
  <c r="BF53" i="3"/>
  <c r="BE53" i="3"/>
  <c r="BD53" i="3"/>
  <c r="BC53" i="3"/>
  <c r="BB53" i="3"/>
  <c r="BA53" i="3"/>
  <c r="AZ53" i="3"/>
  <c r="AY53" i="3"/>
  <c r="AX53" i="3"/>
  <c r="AW53" i="3"/>
  <c r="AV53" i="3"/>
  <c r="AU53" i="3"/>
  <c r="AT53" i="3"/>
  <c r="AS53" i="3"/>
  <c r="AR53" i="3"/>
  <c r="AQ53" i="3"/>
  <c r="AP53" i="3"/>
  <c r="AO53" i="3"/>
  <c r="AN53" i="3"/>
  <c r="AM53" i="3"/>
  <c r="AL53" i="3"/>
  <c r="AK53" i="3"/>
  <c r="AJ53" i="3"/>
  <c r="AI53" i="3"/>
  <c r="AH53" i="3"/>
  <c r="AG53" i="3"/>
  <c r="AF53" i="3"/>
  <c r="AE53" i="3"/>
  <c r="AD53" i="3"/>
  <c r="AC53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D53" i="3"/>
  <c r="C53" i="3"/>
  <c r="B53" i="3"/>
  <c r="EL52" i="3"/>
  <c r="EK52" i="3"/>
  <c r="EJ52" i="3"/>
  <c r="EI52" i="3"/>
  <c r="EH52" i="3"/>
  <c r="EG52" i="3"/>
  <c r="EF52" i="3"/>
  <c r="EE52" i="3"/>
  <c r="ED52" i="3"/>
  <c r="EC52" i="3"/>
  <c r="EB52" i="3"/>
  <c r="EA52" i="3"/>
  <c r="DZ52" i="3"/>
  <c r="DY52" i="3"/>
  <c r="DX52" i="3"/>
  <c r="DW52" i="3"/>
  <c r="DV52" i="3"/>
  <c r="DU52" i="3"/>
  <c r="DT52" i="3"/>
  <c r="DS52" i="3"/>
  <c r="DR52" i="3"/>
  <c r="DQ52" i="3"/>
  <c r="DP52" i="3"/>
  <c r="DO52" i="3"/>
  <c r="DN52" i="3"/>
  <c r="DM52" i="3"/>
  <c r="DL52" i="3"/>
  <c r="DK52" i="3"/>
  <c r="DJ52" i="3"/>
  <c r="DI52" i="3"/>
  <c r="DH52" i="3"/>
  <c r="DG52" i="3"/>
  <c r="DF52" i="3"/>
  <c r="DE52" i="3"/>
  <c r="DD52" i="3"/>
  <c r="DC52" i="3"/>
  <c r="DB52" i="3"/>
  <c r="DA52" i="3"/>
  <c r="CZ52" i="3"/>
  <c r="CY52" i="3"/>
  <c r="CX52" i="3"/>
  <c r="CW52" i="3"/>
  <c r="CV52" i="3"/>
  <c r="CU52" i="3"/>
  <c r="CT52" i="3"/>
  <c r="CS52" i="3"/>
  <c r="CR52" i="3"/>
  <c r="CQ52" i="3"/>
  <c r="CP52" i="3"/>
  <c r="CO52" i="3"/>
  <c r="CN52" i="3"/>
  <c r="CM52" i="3"/>
  <c r="CL52" i="3"/>
  <c r="CK52" i="3"/>
  <c r="CJ52" i="3"/>
  <c r="CI52" i="3"/>
  <c r="CH52" i="3"/>
  <c r="CG52" i="3"/>
  <c r="CF52" i="3"/>
  <c r="CE52" i="3"/>
  <c r="CD52" i="3"/>
  <c r="CC52" i="3"/>
  <c r="CB52" i="3"/>
  <c r="CA52" i="3"/>
  <c r="BZ52" i="3"/>
  <c r="BY52" i="3"/>
  <c r="BX52" i="3"/>
  <c r="BW52" i="3"/>
  <c r="BV52" i="3"/>
  <c r="BU52" i="3"/>
  <c r="BT52" i="3"/>
  <c r="BS52" i="3"/>
  <c r="BR52" i="3"/>
  <c r="BQ52" i="3"/>
  <c r="BP52" i="3"/>
  <c r="BO52" i="3"/>
  <c r="BN52" i="3"/>
  <c r="BM52" i="3"/>
  <c r="BL52" i="3"/>
  <c r="BK52" i="3"/>
  <c r="BJ52" i="3"/>
  <c r="BI52" i="3"/>
  <c r="BH52" i="3"/>
  <c r="BG52" i="3"/>
  <c r="BF52" i="3"/>
  <c r="BE52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D52" i="3"/>
  <c r="C52" i="3"/>
  <c r="B52" i="3"/>
  <c r="EL51" i="3"/>
  <c r="EK51" i="3"/>
  <c r="EJ51" i="3"/>
  <c r="EI51" i="3"/>
  <c r="EH51" i="3"/>
  <c r="EG51" i="3"/>
  <c r="EF51" i="3"/>
  <c r="EE51" i="3"/>
  <c r="ED51" i="3"/>
  <c r="EC51" i="3"/>
  <c r="EB51" i="3"/>
  <c r="EA51" i="3"/>
  <c r="DZ51" i="3"/>
  <c r="DY51" i="3"/>
  <c r="DX51" i="3"/>
  <c r="DW51" i="3"/>
  <c r="DV51" i="3"/>
  <c r="DU51" i="3"/>
  <c r="DT51" i="3"/>
  <c r="DS51" i="3"/>
  <c r="DR51" i="3"/>
  <c r="DQ51" i="3"/>
  <c r="DP51" i="3"/>
  <c r="DO51" i="3"/>
  <c r="DN51" i="3"/>
  <c r="DM51" i="3"/>
  <c r="DL51" i="3"/>
  <c r="DK51" i="3"/>
  <c r="DJ51" i="3"/>
  <c r="DI51" i="3"/>
  <c r="DH51" i="3"/>
  <c r="DG51" i="3"/>
  <c r="DF51" i="3"/>
  <c r="DE51" i="3"/>
  <c r="DD51" i="3"/>
  <c r="DC51" i="3"/>
  <c r="DB51" i="3"/>
  <c r="DA51" i="3"/>
  <c r="CZ51" i="3"/>
  <c r="CY51" i="3"/>
  <c r="CX51" i="3"/>
  <c r="CW51" i="3"/>
  <c r="CV51" i="3"/>
  <c r="CU51" i="3"/>
  <c r="CT51" i="3"/>
  <c r="CS51" i="3"/>
  <c r="CR51" i="3"/>
  <c r="CQ51" i="3"/>
  <c r="CP51" i="3"/>
  <c r="CO51" i="3"/>
  <c r="CN51" i="3"/>
  <c r="CM51" i="3"/>
  <c r="CL51" i="3"/>
  <c r="CK51" i="3"/>
  <c r="CJ51" i="3"/>
  <c r="CI51" i="3"/>
  <c r="CH51" i="3"/>
  <c r="CG51" i="3"/>
  <c r="CF51" i="3"/>
  <c r="CE51" i="3"/>
  <c r="CD51" i="3"/>
  <c r="CC51" i="3"/>
  <c r="CB51" i="3"/>
  <c r="CA51" i="3"/>
  <c r="BZ51" i="3"/>
  <c r="BY51" i="3"/>
  <c r="BX51" i="3"/>
  <c r="BW51" i="3"/>
  <c r="BV51" i="3"/>
  <c r="BU51" i="3"/>
  <c r="BT51" i="3"/>
  <c r="BS51" i="3"/>
  <c r="BR51" i="3"/>
  <c r="BQ51" i="3"/>
  <c r="BP51" i="3"/>
  <c r="BO51" i="3"/>
  <c r="BN51" i="3"/>
  <c r="BM51" i="3"/>
  <c r="BL51" i="3"/>
  <c r="BK51" i="3"/>
  <c r="BJ51" i="3"/>
  <c r="BI51" i="3"/>
  <c r="BH51" i="3"/>
  <c r="BG51" i="3"/>
  <c r="BF51" i="3"/>
  <c r="BE51" i="3"/>
  <c r="BD51" i="3"/>
  <c r="BC51" i="3"/>
  <c r="BB51" i="3"/>
  <c r="BA51" i="3"/>
  <c r="AZ51" i="3"/>
  <c r="AY51" i="3"/>
  <c r="AX51" i="3"/>
  <c r="AW51" i="3"/>
  <c r="AV51" i="3"/>
  <c r="AU51" i="3"/>
  <c r="AT51" i="3"/>
  <c r="AS51" i="3"/>
  <c r="AR51" i="3"/>
  <c r="AQ51" i="3"/>
  <c r="AP51" i="3"/>
  <c r="AO51" i="3"/>
  <c r="AN51" i="3"/>
  <c r="AM51" i="3"/>
  <c r="AL51" i="3"/>
  <c r="AK51" i="3"/>
  <c r="AJ51" i="3"/>
  <c r="AI51" i="3"/>
  <c r="AH51" i="3"/>
  <c r="AG51" i="3"/>
  <c r="AF51" i="3"/>
  <c r="AE51" i="3"/>
  <c r="AD51" i="3"/>
  <c r="AC51" i="3"/>
  <c r="AB51" i="3"/>
  <c r="AA51" i="3"/>
  <c r="Z51" i="3"/>
  <c r="Y51" i="3"/>
  <c r="X51" i="3"/>
  <c r="W51" i="3"/>
  <c r="V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D51" i="3"/>
  <c r="D85" i="3" s="1"/>
  <c r="C51" i="3"/>
  <c r="B51" i="3"/>
  <c r="EL50" i="3"/>
  <c r="EK50" i="3"/>
  <c r="EJ50" i="3"/>
  <c r="EI50" i="3"/>
  <c r="EH50" i="3"/>
  <c r="EG50" i="3"/>
  <c r="EF50" i="3"/>
  <c r="EE50" i="3"/>
  <c r="ED50" i="3"/>
  <c r="EC50" i="3"/>
  <c r="EB50" i="3"/>
  <c r="EA50" i="3"/>
  <c r="DZ50" i="3"/>
  <c r="DY50" i="3"/>
  <c r="DX50" i="3"/>
  <c r="DW50" i="3"/>
  <c r="DV50" i="3"/>
  <c r="DU50" i="3"/>
  <c r="DT50" i="3"/>
  <c r="DS50" i="3"/>
  <c r="DR50" i="3"/>
  <c r="DQ50" i="3"/>
  <c r="DP50" i="3"/>
  <c r="DO50" i="3"/>
  <c r="DN50" i="3"/>
  <c r="DM50" i="3"/>
  <c r="DL50" i="3"/>
  <c r="DK50" i="3"/>
  <c r="DJ50" i="3"/>
  <c r="DI50" i="3"/>
  <c r="DH50" i="3"/>
  <c r="DG50" i="3"/>
  <c r="DF50" i="3"/>
  <c r="DE50" i="3"/>
  <c r="DD50" i="3"/>
  <c r="DC50" i="3"/>
  <c r="DB50" i="3"/>
  <c r="DA50" i="3"/>
  <c r="CZ50" i="3"/>
  <c r="CY50" i="3"/>
  <c r="CX50" i="3"/>
  <c r="CW50" i="3"/>
  <c r="CV50" i="3"/>
  <c r="CU50" i="3"/>
  <c r="CT50" i="3"/>
  <c r="CS50" i="3"/>
  <c r="CR50" i="3"/>
  <c r="CQ50" i="3"/>
  <c r="CP50" i="3"/>
  <c r="CO50" i="3"/>
  <c r="CN50" i="3"/>
  <c r="CM50" i="3"/>
  <c r="CL50" i="3"/>
  <c r="CK50" i="3"/>
  <c r="CJ50" i="3"/>
  <c r="CI50" i="3"/>
  <c r="CH50" i="3"/>
  <c r="CG50" i="3"/>
  <c r="CF50" i="3"/>
  <c r="CE50" i="3"/>
  <c r="CD50" i="3"/>
  <c r="CC50" i="3"/>
  <c r="CB50" i="3"/>
  <c r="CA50" i="3"/>
  <c r="BZ50" i="3"/>
  <c r="BY50" i="3"/>
  <c r="BX50" i="3"/>
  <c r="BW50" i="3"/>
  <c r="BV50" i="3"/>
  <c r="BU50" i="3"/>
  <c r="BT50" i="3"/>
  <c r="BS50" i="3"/>
  <c r="BR50" i="3"/>
  <c r="BQ50" i="3"/>
  <c r="BP50" i="3"/>
  <c r="BO50" i="3"/>
  <c r="BN50" i="3"/>
  <c r="BM50" i="3"/>
  <c r="BL50" i="3"/>
  <c r="BK50" i="3"/>
  <c r="BJ50" i="3"/>
  <c r="BI50" i="3"/>
  <c r="BH50" i="3"/>
  <c r="BG50" i="3"/>
  <c r="BF50" i="3"/>
  <c r="BE50" i="3"/>
  <c r="BD50" i="3"/>
  <c r="BC50" i="3"/>
  <c r="BB50" i="3"/>
  <c r="BA50" i="3"/>
  <c r="AZ50" i="3"/>
  <c r="AY50" i="3"/>
  <c r="AX50" i="3"/>
  <c r="AW50" i="3"/>
  <c r="AV50" i="3"/>
  <c r="AU50" i="3"/>
  <c r="AT50" i="3"/>
  <c r="AS50" i="3"/>
  <c r="AR50" i="3"/>
  <c r="AQ50" i="3"/>
  <c r="AP50" i="3"/>
  <c r="AO50" i="3"/>
  <c r="AN50" i="3"/>
  <c r="AM50" i="3"/>
  <c r="AL50" i="3"/>
  <c r="AK50" i="3"/>
  <c r="AJ50" i="3"/>
  <c r="AI50" i="3"/>
  <c r="AH50" i="3"/>
  <c r="AG50" i="3"/>
  <c r="AF50" i="3"/>
  <c r="AE50" i="3"/>
  <c r="AD50" i="3"/>
  <c r="AC50" i="3"/>
  <c r="AB50" i="3"/>
  <c r="AA50" i="3"/>
  <c r="Z50" i="3"/>
  <c r="Y50" i="3"/>
  <c r="X50" i="3"/>
  <c r="W50" i="3"/>
  <c r="V50" i="3"/>
  <c r="U50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G50" i="3"/>
  <c r="D43" i="3"/>
  <c r="E41" i="3" s="1"/>
  <c r="E42" i="3"/>
  <c r="E125" i="3" s="1"/>
  <c r="A41" i="3"/>
  <c r="E40" i="3"/>
  <c r="E82" i="3" s="1"/>
  <c r="A40" i="3"/>
  <c r="A39" i="3"/>
  <c r="E38" i="3"/>
  <c r="E121" i="3" s="1"/>
  <c r="A38" i="3"/>
  <c r="A37" i="3"/>
  <c r="E36" i="3"/>
  <c r="E78" i="3" s="1"/>
  <c r="A36" i="3"/>
  <c r="A35" i="3"/>
  <c r="E34" i="3"/>
  <c r="E117" i="3" s="1"/>
  <c r="A34" i="3"/>
  <c r="A33" i="3"/>
  <c r="E32" i="3"/>
  <c r="E74" i="3" s="1"/>
  <c r="A32" i="3"/>
  <c r="A31" i="3"/>
  <c r="E30" i="3"/>
  <c r="E113" i="3" s="1"/>
  <c r="A30" i="3"/>
  <c r="A29" i="3"/>
  <c r="E28" i="3"/>
  <c r="E70" i="3" s="1"/>
  <c r="A28" i="3"/>
  <c r="A27" i="3"/>
  <c r="E26" i="3"/>
  <c r="E109" i="3" s="1"/>
  <c r="A26" i="3"/>
  <c r="A25" i="3"/>
  <c r="E24" i="3"/>
  <c r="E66" i="3" s="1"/>
  <c r="A24" i="3"/>
  <c r="A23" i="3"/>
  <c r="E22" i="3"/>
  <c r="E105" i="3" s="1"/>
  <c r="A22" i="3"/>
  <c r="A21" i="3"/>
  <c r="E20" i="3"/>
  <c r="E62" i="3" s="1"/>
  <c r="A20" i="3"/>
  <c r="A19" i="3"/>
  <c r="E18" i="3"/>
  <c r="E101" i="3" s="1"/>
  <c r="A18" i="3"/>
  <c r="A17" i="3"/>
  <c r="E16" i="3"/>
  <c r="E58" i="3" s="1"/>
  <c r="A16" i="3"/>
  <c r="A15" i="3"/>
  <c r="E14" i="3"/>
  <c r="E97" i="3" s="1"/>
  <c r="A14" i="3"/>
  <c r="A13" i="3"/>
  <c r="E12" i="3"/>
  <c r="E54" i="3" s="1"/>
  <c r="A12" i="3"/>
  <c r="A11" i="3"/>
  <c r="E10" i="3"/>
  <c r="E93" i="3" s="1"/>
  <c r="A10" i="3"/>
  <c r="A9" i="3"/>
  <c r="DO5" i="3"/>
  <c r="DN5" i="3"/>
  <c r="DM5" i="3"/>
  <c r="DL5" i="3"/>
  <c r="DK5" i="3"/>
  <c r="DJ5" i="3"/>
  <c r="DI5" i="3"/>
  <c r="DH5" i="3"/>
  <c r="DG5" i="3"/>
  <c r="DF5" i="3"/>
  <c r="DE5" i="3"/>
  <c r="DD5" i="3"/>
  <c r="DC5" i="3"/>
  <c r="DB5" i="3"/>
  <c r="DA5" i="3"/>
  <c r="CZ5" i="3"/>
  <c r="CY5" i="3"/>
  <c r="CX5" i="3"/>
  <c r="CW5" i="3"/>
  <c r="CV5" i="3"/>
  <c r="CU5" i="3"/>
  <c r="CT5" i="3"/>
  <c r="CS5" i="3"/>
  <c r="CR5" i="3"/>
  <c r="CQ5" i="3"/>
  <c r="CP5" i="3"/>
  <c r="CO5" i="3"/>
  <c r="CN5" i="3"/>
  <c r="CM5" i="3"/>
  <c r="CL5" i="3"/>
  <c r="CK5" i="3"/>
  <c r="CJ5" i="3"/>
  <c r="CI5" i="3"/>
  <c r="CH5" i="3"/>
  <c r="CG5" i="3"/>
  <c r="CF5" i="3"/>
  <c r="CE5" i="3"/>
  <c r="CD5" i="3"/>
  <c r="CC5" i="3"/>
  <c r="CB5" i="3"/>
  <c r="CA5" i="3"/>
  <c r="BZ5" i="3"/>
  <c r="BY5" i="3"/>
  <c r="BX5" i="3"/>
  <c r="BW5" i="3"/>
  <c r="BV5" i="3"/>
  <c r="BU5" i="3"/>
  <c r="BT5" i="3"/>
  <c r="BS5" i="3"/>
  <c r="BR5" i="3"/>
  <c r="BQ5" i="3"/>
  <c r="BP5" i="3"/>
  <c r="EL2" i="3"/>
  <c r="EK2" i="3"/>
  <c r="EJ2" i="3"/>
  <c r="EI2" i="3"/>
  <c r="EH2" i="3"/>
  <c r="EG2" i="3"/>
  <c r="EF2" i="3"/>
  <c r="EE2" i="3"/>
  <c r="ED2" i="3"/>
  <c r="EC2" i="3"/>
  <c r="EB2" i="3"/>
  <c r="EA2" i="3"/>
  <c r="DZ2" i="3"/>
  <c r="DY2" i="3"/>
  <c r="DX2" i="3"/>
  <c r="DW2" i="3"/>
  <c r="DV2" i="3"/>
  <c r="DU2" i="3"/>
  <c r="DT2" i="3"/>
  <c r="DS2" i="3"/>
  <c r="DR2" i="3"/>
  <c r="DQ2" i="3"/>
  <c r="DP2" i="3"/>
  <c r="DO2" i="3"/>
  <c r="DN2" i="3"/>
  <c r="DM2" i="3"/>
  <c r="DL2" i="3"/>
  <c r="DK2" i="3"/>
  <c r="DJ2" i="3"/>
  <c r="DI2" i="3"/>
  <c r="DH2" i="3"/>
  <c r="DG2" i="3"/>
  <c r="DF2" i="3"/>
  <c r="DE2" i="3"/>
  <c r="DD2" i="3"/>
  <c r="DC2" i="3"/>
  <c r="DB2" i="3"/>
  <c r="DA2" i="3"/>
  <c r="CZ2" i="3"/>
  <c r="CY2" i="3"/>
  <c r="CX2" i="3"/>
  <c r="CW2" i="3"/>
  <c r="CV2" i="3"/>
  <c r="CU2" i="3"/>
  <c r="CT2" i="3"/>
  <c r="CS2" i="3"/>
  <c r="CR2" i="3"/>
  <c r="CQ2" i="3"/>
  <c r="CP2" i="3"/>
  <c r="CO2" i="3"/>
  <c r="CN2" i="3"/>
  <c r="CM2" i="3"/>
  <c r="CL2" i="3"/>
  <c r="CK2" i="3"/>
  <c r="CJ2" i="3"/>
  <c r="CI2" i="3"/>
  <c r="CH2" i="3"/>
  <c r="CG2" i="3"/>
  <c r="CF2" i="3"/>
  <c r="CE2" i="3"/>
  <c r="CD2" i="3"/>
  <c r="CC2" i="3"/>
  <c r="CB2" i="3"/>
  <c r="CA2" i="3"/>
  <c r="BZ2" i="3"/>
  <c r="BY2" i="3"/>
  <c r="BX2" i="3"/>
  <c r="BW2" i="3"/>
  <c r="BV2" i="3"/>
  <c r="BU2" i="3"/>
  <c r="BT2" i="3"/>
  <c r="BS2" i="3"/>
  <c r="BR2" i="3"/>
  <c r="BQ2" i="3"/>
  <c r="BP2" i="3"/>
  <c r="BO2" i="3"/>
  <c r="BN2" i="3"/>
  <c r="BM2" i="3"/>
  <c r="BL2" i="3"/>
  <c r="BK2" i="3"/>
  <c r="BJ2" i="3"/>
  <c r="BI2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E83" i="3" l="1"/>
  <c r="E124" i="3"/>
  <c r="E52" i="3"/>
  <c r="E56" i="3"/>
  <c r="E60" i="3"/>
  <c r="E64" i="3"/>
  <c r="E68" i="3"/>
  <c r="E72" i="3"/>
  <c r="E76" i="3"/>
  <c r="E80" i="3"/>
  <c r="E84" i="3"/>
  <c r="E95" i="3"/>
  <c r="E99" i="3"/>
  <c r="E103" i="3"/>
  <c r="E107" i="3"/>
  <c r="E111" i="3"/>
  <c r="E115" i="3"/>
  <c r="E119" i="3"/>
  <c r="E123" i="3"/>
  <c r="E9" i="3"/>
  <c r="E11" i="3"/>
  <c r="E13" i="3"/>
  <c r="E15" i="3"/>
  <c r="E17" i="3"/>
  <c r="E19" i="3"/>
  <c r="E21" i="3"/>
  <c r="E23" i="3"/>
  <c r="E25" i="3"/>
  <c r="E27" i="3"/>
  <c r="E29" i="3"/>
  <c r="E31" i="3"/>
  <c r="E33" i="3"/>
  <c r="E35" i="3"/>
  <c r="E37" i="3"/>
  <c r="E39" i="3"/>
  <c r="E75" i="3" l="1"/>
  <c r="E116" i="3"/>
  <c r="E59" i="3"/>
  <c r="E100" i="3"/>
  <c r="E114" i="3"/>
  <c r="E73" i="3"/>
  <c r="E98" i="3"/>
  <c r="E57" i="3"/>
  <c r="E79" i="3"/>
  <c r="E120" i="3"/>
  <c r="E71" i="3"/>
  <c r="E112" i="3"/>
  <c r="E63" i="3"/>
  <c r="E104" i="3"/>
  <c r="E55" i="3"/>
  <c r="E96" i="3"/>
  <c r="E67" i="3"/>
  <c r="E108" i="3"/>
  <c r="E51" i="3"/>
  <c r="E43" i="3"/>
  <c r="E92" i="3"/>
  <c r="E126" i="3" s="1"/>
  <c r="E122" i="3"/>
  <c r="E81" i="3"/>
  <c r="E106" i="3"/>
  <c r="E65" i="3"/>
  <c r="E118" i="3"/>
  <c r="E77" i="3"/>
  <c r="E110" i="3"/>
  <c r="E69" i="3"/>
  <c r="E102" i="3"/>
  <c r="E61" i="3"/>
  <c r="E94" i="3"/>
  <c r="E53" i="3"/>
  <c r="DM3" i="3" l="1"/>
  <c r="DI3" i="3"/>
  <c r="DE3" i="3"/>
  <c r="DA3" i="3"/>
  <c r="CW3" i="3"/>
  <c r="CS3" i="3"/>
  <c r="CO3" i="3"/>
  <c r="CK3" i="3"/>
  <c r="CG3" i="3"/>
  <c r="CC3" i="3"/>
  <c r="BY3" i="3"/>
  <c r="BU3" i="3"/>
  <c r="BQ3" i="3"/>
  <c r="BM3" i="3"/>
  <c r="BI3" i="3"/>
  <c r="BE3" i="3"/>
  <c r="BA3" i="3"/>
  <c r="AW3" i="3"/>
  <c r="AS3" i="3"/>
  <c r="AO3" i="3"/>
  <c r="AK3" i="3"/>
  <c r="AG3" i="3"/>
  <c r="AC3" i="3"/>
  <c r="Y3" i="3"/>
  <c r="U3" i="3"/>
  <c r="Q3" i="3"/>
  <c r="M3" i="3"/>
  <c r="I3" i="3"/>
  <c r="DL3" i="3"/>
  <c r="DH3" i="3"/>
  <c r="DD3" i="3"/>
  <c r="CZ3" i="3"/>
  <c r="CV3" i="3"/>
  <c r="CR3" i="3"/>
  <c r="CN3" i="3"/>
  <c r="CJ3" i="3"/>
  <c r="CF3" i="3"/>
  <c r="CB3" i="3"/>
  <c r="BX3" i="3"/>
  <c r="BT3" i="3"/>
  <c r="BP3" i="3"/>
  <c r="BL3" i="3"/>
  <c r="BH3" i="3"/>
  <c r="BD3" i="3"/>
  <c r="AZ3" i="3"/>
  <c r="AV3" i="3"/>
  <c r="AR3" i="3"/>
  <c r="AN3" i="3"/>
  <c r="AJ3" i="3"/>
  <c r="AF3" i="3"/>
  <c r="AB3" i="3"/>
  <c r="X3" i="3"/>
  <c r="T3" i="3"/>
  <c r="P3" i="3"/>
  <c r="L3" i="3"/>
  <c r="H3" i="3"/>
  <c r="E85" i="3"/>
  <c r="DO3" i="3"/>
  <c r="DK3" i="3"/>
  <c r="DG3" i="3"/>
  <c r="DC3" i="3"/>
  <c r="CY3" i="3"/>
  <c r="CU3" i="3"/>
  <c r="CQ3" i="3"/>
  <c r="CM3" i="3"/>
  <c r="CI3" i="3"/>
  <c r="CE3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DN3" i="3"/>
  <c r="DJ3" i="3"/>
  <c r="DF3" i="3"/>
  <c r="DB3" i="3"/>
  <c r="CX3" i="3"/>
  <c r="CT3" i="3"/>
  <c r="CP3" i="3"/>
  <c r="CL3" i="3"/>
  <c r="CH3" i="3"/>
  <c r="CD3" i="3"/>
  <c r="BZ3" i="3"/>
  <c r="BV3" i="3"/>
  <c r="BR3" i="3"/>
  <c r="BN3" i="3"/>
  <c r="BJ3" i="3"/>
  <c r="BF3" i="3"/>
  <c r="BB3" i="3"/>
  <c r="AX3" i="3"/>
  <c r="AT3" i="3"/>
  <c r="AP3" i="3"/>
  <c r="AL3" i="3"/>
  <c r="AH3" i="3"/>
  <c r="AD3" i="3"/>
  <c r="Z3" i="3"/>
  <c r="V3" i="3"/>
  <c r="R3" i="3"/>
  <c r="N3" i="3"/>
  <c r="J3" i="3"/>
</calcChain>
</file>

<file path=xl/sharedStrings.xml><?xml version="1.0" encoding="utf-8"?>
<sst xmlns="http://schemas.openxmlformats.org/spreadsheetml/2006/main" count="2354" uniqueCount="415">
  <si>
    <t>Periodo</t>
  </si>
  <si>
    <t>1.- Actualizar Base de Datos :</t>
  </si>
  <si>
    <t>Todas</t>
  </si>
  <si>
    <t>Año</t>
  </si>
  <si>
    <t>Semana</t>
  </si>
  <si>
    <t>Arica y Parinacota</t>
  </si>
  <si>
    <t>OK</t>
  </si>
  <si>
    <t>desde :</t>
  </si>
  <si>
    <t>Coquimbo</t>
  </si>
  <si>
    <t>hasta :</t>
  </si>
  <si>
    <t>Valparaíso</t>
  </si>
  <si>
    <t>Metropolitana</t>
  </si>
  <si>
    <t>Bíobío</t>
  </si>
  <si>
    <t>2.- Cálculo de CPI_Food :</t>
  </si>
  <si>
    <t>3.- Comprobar elementos</t>
  </si>
  <si>
    <t>ODEPA</t>
  </si>
  <si>
    <t>INE</t>
  </si>
  <si>
    <t>Tipo Producto</t>
  </si>
  <si>
    <t>Producto</t>
  </si>
  <si>
    <t>Variedad</t>
  </si>
  <si>
    <t>Calidad</t>
  </si>
  <si>
    <t>Procedencia</t>
  </si>
  <si>
    <t>Unidad</t>
  </si>
  <si>
    <t>Selección</t>
  </si>
  <si>
    <t>Cobertura ODEPA</t>
  </si>
  <si>
    <t>Cobertura INE</t>
  </si>
  <si>
    <t>Aceite</t>
  </si>
  <si>
    <t>Maravilla</t>
  </si>
  <si>
    <t>$/litro</t>
  </si>
  <si>
    <t>ACEITE VEGETAL</t>
  </si>
  <si>
    <t>X</t>
  </si>
  <si>
    <t>Region</t>
  </si>
  <si>
    <t>Sector</t>
  </si>
  <si>
    <t>Vegetal</t>
  </si>
  <si>
    <t>Arica</t>
  </si>
  <si>
    <t>Tarapacá</t>
  </si>
  <si>
    <t>Iquique</t>
  </si>
  <si>
    <t>Aceitunas Minoristas</t>
  </si>
  <si>
    <t>Aceituna Amarga (extra)</t>
  </si>
  <si>
    <t>$/kilo</t>
  </si>
  <si>
    <t>Bulnes</t>
  </si>
  <si>
    <t>Aceituna Amarga (primera)</t>
  </si>
  <si>
    <t>Chiguayante</t>
  </si>
  <si>
    <t>Antofagasta</t>
  </si>
  <si>
    <t>Aceituna Amarga (segunda)</t>
  </si>
  <si>
    <t>Chillán</t>
  </si>
  <si>
    <t>Atacama</t>
  </si>
  <si>
    <t>Copiapó</t>
  </si>
  <si>
    <t>Aceituna Amarga (tercera)</t>
  </si>
  <si>
    <t>Chillán Viejo</t>
  </si>
  <si>
    <t>La Serena</t>
  </si>
  <si>
    <t>Aceituna Negra (extra)</t>
  </si>
  <si>
    <t>Concepción</t>
  </si>
  <si>
    <t>Aceituna Negra (primera)</t>
  </si>
  <si>
    <t>Los Ángeles</t>
  </si>
  <si>
    <t>Aceituna Negra (segunda)</t>
  </si>
  <si>
    <t>Penco</t>
  </si>
  <si>
    <t>Viña del Mar</t>
  </si>
  <si>
    <t>Aceituna Negra (tercera)</t>
  </si>
  <si>
    <t>San Carlos</t>
  </si>
  <si>
    <t>Quilpué</t>
  </si>
  <si>
    <t>Aceituna Sevillana (extra)</t>
  </si>
  <si>
    <t>San Pedro de la Paz</t>
  </si>
  <si>
    <t>Concón</t>
  </si>
  <si>
    <t>Aceituna Sevillana (primera)</t>
  </si>
  <si>
    <t>Talcahuano-Hualpén</t>
  </si>
  <si>
    <t>Villa Alemana</t>
  </si>
  <si>
    <t>Aceituna Sevillana (segunda)</t>
  </si>
  <si>
    <t>O'Higgins</t>
  </si>
  <si>
    <t>Rancagua</t>
  </si>
  <si>
    <t>Aceituna Sevillana (tercera)</t>
  </si>
  <si>
    <t>Maule</t>
  </si>
  <si>
    <t>Talca</t>
  </si>
  <si>
    <t>Azúcar</t>
  </si>
  <si>
    <t>AZÚCAR</t>
  </si>
  <si>
    <t>Ovalle</t>
  </si>
  <si>
    <t>Carnes</t>
  </si>
  <si>
    <t>Abastero</t>
  </si>
  <si>
    <t>Nacional o Importada</t>
  </si>
  <si>
    <t>CARNE DE VACUNO</t>
  </si>
  <si>
    <t>La Araucanía</t>
  </si>
  <si>
    <t>Alemania-Pedro de Valdivia</t>
  </si>
  <si>
    <t>Asado Carnicero</t>
  </si>
  <si>
    <t>Centro-Estación</t>
  </si>
  <si>
    <t>Asado de tira</t>
  </si>
  <si>
    <t>Estadio-Barrio Inglés</t>
  </si>
  <si>
    <t>Asiento</t>
  </si>
  <si>
    <t>Padre Las Casas</t>
  </si>
  <si>
    <t>Talcahuano</t>
  </si>
  <si>
    <t>Cerdo Costillar</t>
  </si>
  <si>
    <t>Nacional</t>
  </si>
  <si>
    <t>CARNE DE CERDO</t>
  </si>
  <si>
    <t>Pueblo nuevo</t>
  </si>
  <si>
    <t>Hualpén</t>
  </si>
  <si>
    <t>Cerdo Lomo</t>
  </si>
  <si>
    <t>Recabarren</t>
  </si>
  <si>
    <t>Temuco</t>
  </si>
  <si>
    <t>Cerdo Pulpa s/hueso</t>
  </si>
  <si>
    <t>Los Lagos</t>
  </si>
  <si>
    <t>Frutillar</t>
  </si>
  <si>
    <t>Padre las Casas</t>
  </si>
  <si>
    <t>Choclillo</t>
  </si>
  <si>
    <t>Llanquihue</t>
  </si>
  <si>
    <t>Puerto Montt</t>
  </si>
  <si>
    <t>Chuleta (centro)</t>
  </si>
  <si>
    <t>Osorno</t>
  </si>
  <si>
    <t>Los Ríos</t>
  </si>
  <si>
    <t>Valdivia</t>
  </si>
  <si>
    <t>Chuleta (Parrillera)</t>
  </si>
  <si>
    <t>Aysén</t>
  </si>
  <si>
    <t>Coyhaique</t>
  </si>
  <si>
    <t>Cordero</t>
  </si>
  <si>
    <t>Puerto Varas</t>
  </si>
  <si>
    <t>Magallanes</t>
  </si>
  <si>
    <t>Punta Arenas</t>
  </si>
  <si>
    <t>Estomaguillo (Tapabarriga)</t>
  </si>
  <si>
    <t>Curicó</t>
  </si>
  <si>
    <t>Comunas de santiago</t>
  </si>
  <si>
    <t>Filete</t>
  </si>
  <si>
    <t>Linares</t>
  </si>
  <si>
    <t>Padre Hurtad</t>
  </si>
  <si>
    <t>Ganso</t>
  </si>
  <si>
    <t>Puente Alto</t>
  </si>
  <si>
    <t>Huachalomo</t>
  </si>
  <si>
    <t>Centro</t>
  </si>
  <si>
    <t>San Bernardo</t>
  </si>
  <si>
    <t>Lomo Liso</t>
  </si>
  <si>
    <t>Mercado Lo Valledor</t>
  </si>
  <si>
    <t>Lomo Vetado</t>
  </si>
  <si>
    <t>Mercado Vega Mapocho</t>
  </si>
  <si>
    <t>Malaya</t>
  </si>
  <si>
    <t>Norte</t>
  </si>
  <si>
    <t>Osobuco</t>
  </si>
  <si>
    <t>Oriente</t>
  </si>
  <si>
    <t>Palanca</t>
  </si>
  <si>
    <t>Poniente</t>
  </si>
  <si>
    <t>Pavo Osobuco</t>
  </si>
  <si>
    <t>CARNE DE PAVO</t>
  </si>
  <si>
    <t>Sur</t>
  </si>
  <si>
    <t>Pavo Pechuga s/hueso</t>
  </si>
  <si>
    <t>Calera</t>
  </si>
  <si>
    <t>Pavo Trutro Ala</t>
  </si>
  <si>
    <t>Quillota</t>
  </si>
  <si>
    <t>Pavo Trutro Corto</t>
  </si>
  <si>
    <t>Plateada</t>
  </si>
  <si>
    <t>Pollo Entero</t>
  </si>
  <si>
    <t>CARNE DE POLLO</t>
  </si>
  <si>
    <t>Pollo Ganso</t>
  </si>
  <si>
    <t>Pollo Pechuga</t>
  </si>
  <si>
    <t>Pollo Pechuga Deshuesada</t>
  </si>
  <si>
    <t>Pollo Trutro Entero</t>
  </si>
  <si>
    <t>Posta Negra</t>
  </si>
  <si>
    <t>Posta Paleta</t>
  </si>
  <si>
    <t>Posta Rosada</t>
  </si>
  <si>
    <t>Punta de Ganso</t>
  </si>
  <si>
    <t>Punta paleta</t>
  </si>
  <si>
    <t>Punta picana</t>
  </si>
  <si>
    <t>Sobrecostilla</t>
  </si>
  <si>
    <t>Tapapecho</t>
  </si>
  <si>
    <t>Cereales</t>
  </si>
  <si>
    <t>Arroz grano Ancho grado 1</t>
  </si>
  <si>
    <t>ARROZ</t>
  </si>
  <si>
    <t>Arroz grano Ancho grado 2</t>
  </si>
  <si>
    <t>Arroz grano Delgado grado 2</t>
  </si>
  <si>
    <t>Spaghetti N° 5</t>
  </si>
  <si>
    <t>$/envase 400 gramos</t>
  </si>
  <si>
    <t>PASTAS</t>
  </si>
  <si>
    <t>Frutas</t>
  </si>
  <si>
    <t>Arándano (blue)</t>
  </si>
  <si>
    <t>Sin especificar</t>
  </si>
  <si>
    <t>Primera</t>
  </si>
  <si>
    <t>Segunda</t>
  </si>
  <si>
    <t>Cereza</t>
  </si>
  <si>
    <t>Bing</t>
  </si>
  <si>
    <t>Lapins</t>
  </si>
  <si>
    <t>Rainier</t>
  </si>
  <si>
    <t>Santina</t>
  </si>
  <si>
    <t>Sweet Heart</t>
  </si>
  <si>
    <t>Van</t>
  </si>
  <si>
    <t>Chirimoya</t>
  </si>
  <si>
    <t>Ciruela</t>
  </si>
  <si>
    <t>Angeleno</t>
  </si>
  <si>
    <t>Black Amber</t>
  </si>
  <si>
    <t>Fortuna</t>
  </si>
  <si>
    <t>Larry Ann</t>
  </si>
  <si>
    <t>Damasco</t>
  </si>
  <si>
    <t>Castle Brite</t>
  </si>
  <si>
    <t>$/unidad</t>
  </si>
  <si>
    <t>Modesto</t>
  </si>
  <si>
    <t>Durazno</t>
  </si>
  <si>
    <t>Andross</t>
  </si>
  <si>
    <t>Artic Snow</t>
  </si>
  <si>
    <t>Carson</t>
  </si>
  <si>
    <t>Conservero</t>
  </si>
  <si>
    <t>Doctor Davis</t>
  </si>
  <si>
    <t>Early Majestic</t>
  </si>
  <si>
    <t>Elegant Lady</t>
  </si>
  <si>
    <t>Flavor Crest</t>
  </si>
  <si>
    <t>Florida King</t>
  </si>
  <si>
    <t>Loadel</t>
  </si>
  <si>
    <t>Merril Gem Free</t>
  </si>
  <si>
    <t>Nectar Crest</t>
  </si>
  <si>
    <t>Phillips Cling</t>
  </si>
  <si>
    <t>Pomona</t>
  </si>
  <si>
    <t>Rich Lady</t>
  </si>
  <si>
    <t>September Sun</t>
  </si>
  <si>
    <t>September Sweet</t>
  </si>
  <si>
    <t>Springcrest</t>
  </si>
  <si>
    <t>Springtime</t>
  </si>
  <si>
    <t>White Lady</t>
  </si>
  <si>
    <t>Frambuesa</t>
  </si>
  <si>
    <t>Frutilla</t>
  </si>
  <si>
    <t>Kiwi</t>
  </si>
  <si>
    <t>Hayward</t>
  </si>
  <si>
    <t>Limón</t>
  </si>
  <si>
    <t>1a amarillo</t>
  </si>
  <si>
    <t>LIMÓN</t>
  </si>
  <si>
    <t>1a plateado</t>
  </si>
  <si>
    <t>2a amarillo</t>
  </si>
  <si>
    <t>2a plateado</t>
  </si>
  <si>
    <t>Mandarina</t>
  </si>
  <si>
    <t>Clementina</t>
  </si>
  <si>
    <t>Clemenuless</t>
  </si>
  <si>
    <t>Murcott</t>
  </si>
  <si>
    <t>Mango</t>
  </si>
  <si>
    <t>Manzana</t>
  </si>
  <si>
    <t>Braeburn</t>
  </si>
  <si>
    <t>MANZANA</t>
  </si>
  <si>
    <t>Fuji</t>
  </si>
  <si>
    <t>Fuji royal</t>
  </si>
  <si>
    <t>Granny Smith</t>
  </si>
  <si>
    <t>Pink Lady</t>
  </si>
  <si>
    <t>Royal Gala</t>
  </si>
  <si>
    <t>Scarlett</t>
  </si>
  <si>
    <t>Maracuyá</t>
  </si>
  <si>
    <t>Naranja</t>
  </si>
  <si>
    <t>Fukumoto</t>
  </si>
  <si>
    <t>NARANJA</t>
  </si>
  <si>
    <t>Lane Late</t>
  </si>
  <si>
    <t>Navel Late</t>
  </si>
  <si>
    <t>New Hall</t>
  </si>
  <si>
    <t>Thompson</t>
  </si>
  <si>
    <t>Valencia</t>
  </si>
  <si>
    <t>Valenciana</t>
  </si>
  <si>
    <t>Nectarín</t>
  </si>
  <si>
    <t>Armqueen</t>
  </si>
  <si>
    <t>Artic Pride</t>
  </si>
  <si>
    <t>August Red</t>
  </si>
  <si>
    <t>Early John</t>
  </si>
  <si>
    <t>June Pearl</t>
  </si>
  <si>
    <t>Plátano</t>
  </si>
  <si>
    <t>Red Diamond</t>
  </si>
  <si>
    <t>Ruby Diamond</t>
  </si>
  <si>
    <t>Spring Bright</t>
  </si>
  <si>
    <t>Super August</t>
  </si>
  <si>
    <t>Super Queen</t>
  </si>
  <si>
    <t>Venus</t>
  </si>
  <si>
    <t>Palta</t>
  </si>
  <si>
    <t>Ester</t>
  </si>
  <si>
    <t>PALTA</t>
  </si>
  <si>
    <t>Fuerte</t>
  </si>
  <si>
    <t>Hass</t>
  </si>
  <si>
    <t>Negra de La Cruz</t>
  </si>
  <si>
    <t>Pera</t>
  </si>
  <si>
    <t>Bartlett de verano</t>
  </si>
  <si>
    <t>PERA</t>
  </si>
  <si>
    <t>Packham's Triumph</t>
  </si>
  <si>
    <t>Winter Nelis</t>
  </si>
  <si>
    <t>PLÁTANO</t>
  </si>
  <si>
    <t>Tuna</t>
  </si>
  <si>
    <t>Uva</t>
  </si>
  <si>
    <t>Flame Seedless</t>
  </si>
  <si>
    <t>Red Globe</t>
  </si>
  <si>
    <t>Sultanina</t>
  </si>
  <si>
    <t>Superior Seedless</t>
  </si>
  <si>
    <t>Harina</t>
  </si>
  <si>
    <t>Harina con polvos de hornear</t>
  </si>
  <si>
    <t>HARINA</t>
  </si>
  <si>
    <t>Harina sin polvos de hornear</t>
  </si>
  <si>
    <t>Hortalizas</t>
  </si>
  <si>
    <t>Ajo</t>
  </si>
  <si>
    <t>Chino</t>
  </si>
  <si>
    <t>1a (cosecha)</t>
  </si>
  <si>
    <t>1a (guarda)</t>
  </si>
  <si>
    <t>1a nueva(o)</t>
  </si>
  <si>
    <t>2a (cosecha)</t>
  </si>
  <si>
    <t>2a (guarda)</t>
  </si>
  <si>
    <t>2a nueva(o)</t>
  </si>
  <si>
    <t>Alcachofa</t>
  </si>
  <si>
    <t>Argentina(o)</t>
  </si>
  <si>
    <t>Española</t>
  </si>
  <si>
    <t>Madrigal</t>
  </si>
  <si>
    <t>Apio</t>
  </si>
  <si>
    <t>Americana (o)</t>
  </si>
  <si>
    <t>Arveja Verde</t>
  </si>
  <si>
    <t>Brócoli</t>
  </si>
  <si>
    <t>Cebolla</t>
  </si>
  <si>
    <t>Nueva y guarda</t>
  </si>
  <si>
    <t>CEBOLLA Y CEBOLLÍN</t>
  </si>
  <si>
    <t>Valencianita</t>
  </si>
  <si>
    <t>Choclo</t>
  </si>
  <si>
    <t>Choclero</t>
  </si>
  <si>
    <t>Dulce o Americano</t>
  </si>
  <si>
    <t>Lluteño</t>
  </si>
  <si>
    <t>Coliflor</t>
  </si>
  <si>
    <t>Espárragos</t>
  </si>
  <si>
    <t>Espinaca</t>
  </si>
  <si>
    <t>ACELGA Y ESPINACA</t>
  </si>
  <si>
    <t>Haba</t>
  </si>
  <si>
    <t>Lechuga</t>
  </si>
  <si>
    <t>Conconina(o)</t>
  </si>
  <si>
    <t>LECHUGA</t>
  </si>
  <si>
    <t>Escarola</t>
  </si>
  <si>
    <t>Milanesa</t>
  </si>
  <si>
    <t>Locoto</t>
  </si>
  <si>
    <t>Melón</t>
  </si>
  <si>
    <t>Calameño</t>
  </si>
  <si>
    <t>Papa</t>
  </si>
  <si>
    <t>Asterix</t>
  </si>
  <si>
    <t>PAPA</t>
  </si>
  <si>
    <t>1a (cosecha lavada)</t>
  </si>
  <si>
    <t>Cardinal</t>
  </si>
  <si>
    <t>Desirée</t>
  </si>
  <si>
    <t>Karú</t>
  </si>
  <si>
    <t>Patagonia</t>
  </si>
  <si>
    <t>Rodeo</t>
  </si>
  <si>
    <t>Pepino dulce</t>
  </si>
  <si>
    <t>Pepino ensalada</t>
  </si>
  <si>
    <t>Pimiento</t>
  </si>
  <si>
    <t>Cuatro cascos rojo</t>
  </si>
  <si>
    <t>PIMENTÓN Y PIMIENTO</t>
  </si>
  <si>
    <t>Cuatro cascos verde</t>
  </si>
  <si>
    <t>Poroto granado</t>
  </si>
  <si>
    <t>Poroto verde</t>
  </si>
  <si>
    <t>Magnum</t>
  </si>
  <si>
    <t>Repollo</t>
  </si>
  <si>
    <t>Crespo record</t>
  </si>
  <si>
    <t>Sandia</t>
  </si>
  <si>
    <t>Royal Sweet</t>
  </si>
  <si>
    <t>Tomate</t>
  </si>
  <si>
    <t>Larga vida</t>
  </si>
  <si>
    <t>TOMATE</t>
  </si>
  <si>
    <t>Semiduro</t>
  </si>
  <si>
    <t>Thompson seedless</t>
  </si>
  <si>
    <t>Zanahoria</t>
  </si>
  <si>
    <t>ZANAHORIA</t>
  </si>
  <si>
    <t>Zapallo</t>
  </si>
  <si>
    <t>Camote</t>
  </si>
  <si>
    <t>ZAPALLO</t>
  </si>
  <si>
    <t>Zapallo italiano</t>
  </si>
  <si>
    <t>ZAPALLO ITALIANO</t>
  </si>
  <si>
    <t>Huevos</t>
  </si>
  <si>
    <t>Huevo blanco</t>
  </si>
  <si>
    <t>$/bandeja 12 unidades</t>
  </si>
  <si>
    <t>HUEVOS</t>
  </si>
  <si>
    <t>Huevo color</t>
  </si>
  <si>
    <t>Lácteos</t>
  </si>
  <si>
    <t>Leche en Polvo Descremada</t>
  </si>
  <si>
    <t>$/Bolsa 800 grs</t>
  </si>
  <si>
    <t>LECHE EN POLVO</t>
  </si>
  <si>
    <t>Leche en Polvo Entera</t>
  </si>
  <si>
    <t>$/Bolsa 900 grs</t>
  </si>
  <si>
    <t>Leche Fluida Descremada</t>
  </si>
  <si>
    <t>$/Caja de 1 Litro</t>
  </si>
  <si>
    <t>LECHE LÍQUIDA</t>
  </si>
  <si>
    <t>Leche Fluida Entera</t>
  </si>
  <si>
    <t>Mantequilla</t>
  </si>
  <si>
    <t>$/pan de 250 gramos</t>
  </si>
  <si>
    <t>MANTEQUILLA</t>
  </si>
  <si>
    <t>Margarina</t>
  </si>
  <si>
    <t>$/pote 500 gramos</t>
  </si>
  <si>
    <t>MARGARINA</t>
  </si>
  <si>
    <t>Queso Chanco</t>
  </si>
  <si>
    <t>$/envase 1 kilo</t>
  </si>
  <si>
    <t>QUESO</t>
  </si>
  <si>
    <t>Queso Gauda</t>
  </si>
  <si>
    <t>Queso Mantecoso</t>
  </si>
  <si>
    <t>Yoghurt (vainilla ó frutilla)</t>
  </si>
  <si>
    <t>$/envase 125 gramos</t>
  </si>
  <si>
    <t>YOGHURT</t>
  </si>
  <si>
    <t>Legumbres</t>
  </si>
  <si>
    <t>Arvejas verdes partidas</t>
  </si>
  <si>
    <t>LEGUMBRES</t>
  </si>
  <si>
    <t>Garbanzos sin piel</t>
  </si>
  <si>
    <t>Lentejas 6 mm</t>
  </si>
  <si>
    <t>Poroto Hallado</t>
  </si>
  <si>
    <t>Poroto Negro</t>
  </si>
  <si>
    <t>Poroto Tórtola</t>
  </si>
  <si>
    <t>Legumbres a granel</t>
  </si>
  <si>
    <t>Garbanzo sin piel</t>
  </si>
  <si>
    <t>$/kilo (en envase de 1 kilo)</t>
  </si>
  <si>
    <t>$/kilo (en saco de 5 kilos)</t>
  </si>
  <si>
    <t>$/kilo (en saco de 50 kilos)</t>
  </si>
  <si>
    <t>Lentejas 6mm</t>
  </si>
  <si>
    <t>Poroto Blanco (Inia)</t>
  </si>
  <si>
    <t>Poroto Coscorrón (español)</t>
  </si>
  <si>
    <t>Pan</t>
  </si>
  <si>
    <t>Hallulla corriente</t>
  </si>
  <si>
    <t>PAN</t>
  </si>
  <si>
    <t>Hallulla especial</t>
  </si>
  <si>
    <t>Hallulla integral</t>
  </si>
  <si>
    <t>Marraqueta</t>
  </si>
  <si>
    <t>Pan amasado</t>
  </si>
  <si>
    <t>Bebidas</t>
  </si>
  <si>
    <t>BEBIDA GASEOSA</t>
  </si>
  <si>
    <t>Artic Mist</t>
  </si>
  <si>
    <t>CPI Food :</t>
  </si>
  <si>
    <t>Precios :</t>
  </si>
  <si>
    <t>Nº</t>
  </si>
  <si>
    <t>Producto INE</t>
  </si>
  <si>
    <t>% IPC</t>
  </si>
  <si>
    <t>% IPC Base 100</t>
  </si>
  <si>
    <t>Total</t>
  </si>
  <si>
    <t>Variación Mensual :</t>
  </si>
  <si>
    <t>Variación Anual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</si>
</sst>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,##0.0"/>
    <numFmt numFmtId="165" formatCode="0.0%"/>
    <numFmt numFmtId="166" formatCode="0.00000%"/>
    <numFmt numFmtId="167" formatCode="0.0000"/>
    <numFmt numFmtId="168" formatCode="0.0000%"/>
  </numFmts>
  <fonts count="16" x14ac:knownFonts="1">
    <font>
      <sz val="10"/>
      <color rgb="FF000000"/>
      <name val="Arial"/>
      <family val="2"/>
      <charset val="1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rgb="FFC00000"/>
      <name val="Arial"/>
      <family val="2"/>
    </font>
    <font>
      <b/>
      <sz val="10"/>
      <color rgb="FF000000"/>
      <name val="Arial"/>
      <family val="2"/>
    </font>
    <font>
      <sz val="10"/>
      <color rgb="FFC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rgb="FFC00000"/>
      <name val="Arial"/>
      <family val="2"/>
      <charset val="1"/>
    </font>
    <font>
      <sz val="10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</borders>
  <cellStyleXfs count="12">
    <xf numFmtId="0" fontId="0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5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</cellStyleXfs>
  <cellXfs count="123">
    <xf numFmtId="0" fontId="0" fillId="0" borderId="0" xfId="0" applyAlignment="1">
      <alignment wrapText="1"/>
    </xf>
    <xf numFmtId="0" fontId="0" fillId="4" borderId="7" xfId="4" applyFont="1" applyFill="1" applyBorder="1"/>
    <xf numFmtId="17" fontId="0" fillId="4" borderId="0" xfId="1" applyNumberFormat="1" applyFont="1" applyFill="1"/>
    <xf numFmtId="0" fontId="0" fillId="4" borderId="0" xfId="5" applyFont="1" applyFill="1" applyAlignment="1">
      <alignment vertical="center"/>
    </xf>
    <xf numFmtId="0" fontId="1" fillId="4" borderId="0" xfId="5" applyFont="1" applyFill="1" applyAlignment="1">
      <alignment vertical="center"/>
    </xf>
    <xf numFmtId="17" fontId="0" fillId="4" borderId="0" xfId="5" applyNumberFormat="1" applyFont="1" applyFill="1" applyAlignment="1">
      <alignment vertical="center"/>
    </xf>
    <xf numFmtId="0" fontId="4" fillId="4" borderId="0" xfId="5" applyFont="1" applyFill="1" applyAlignment="1">
      <alignment vertical="center"/>
    </xf>
    <xf numFmtId="0" fontId="3" fillId="7" borderId="0" xfId="5" applyFont="1" applyFill="1" applyAlignment="1">
      <alignment horizontal="center" vertical="center"/>
    </xf>
    <xf numFmtId="0" fontId="2" fillId="4" borderId="0" xfId="5" applyFont="1" applyFill="1" applyAlignment="1">
      <alignment horizontal="right" vertical="center"/>
    </xf>
    <xf numFmtId="0" fontId="2" fillId="7" borderId="2" xfId="5" applyFont="1" applyFill="1" applyBorder="1" applyAlignment="1">
      <alignment horizontal="center" vertical="center"/>
    </xf>
    <xf numFmtId="9" fontId="7" fillId="4" borderId="0" xfId="8" applyNumberFormat="1" applyFont="1" applyFill="1" applyAlignment="1">
      <alignment horizontal="center" vertical="center"/>
    </xf>
    <xf numFmtId="17" fontId="8" fillId="6" borderId="2" xfId="8" applyNumberFormat="1" applyFont="1" applyFill="1" applyBorder="1" applyAlignment="1">
      <alignment horizontal="center" vertical="center"/>
    </xf>
    <xf numFmtId="9" fontId="9" fillId="4" borderId="0" xfId="8" applyNumberFormat="1" applyFont="1" applyFill="1" applyAlignment="1">
      <alignment horizontal="right" vertical="center"/>
    </xf>
    <xf numFmtId="10" fontId="7" fillId="4" borderId="2" xfId="8" applyNumberFormat="1" applyFont="1" applyFill="1" applyBorder="1" applyAlignment="1">
      <alignment horizontal="center" vertical="center"/>
    </xf>
    <xf numFmtId="9" fontId="7" fillId="4" borderId="2" xfId="8" applyNumberFormat="1" applyFont="1" applyFill="1" applyBorder="1" applyAlignment="1">
      <alignment horizontal="center" vertical="center"/>
    </xf>
    <xf numFmtId="9" fontId="10" fillId="4" borderId="0" xfId="8" applyNumberFormat="1" applyFont="1" applyFill="1"/>
    <xf numFmtId="9" fontId="7" fillId="4" borderId="0" xfId="8" applyNumberFormat="1" applyFont="1" applyFill="1"/>
    <xf numFmtId="9" fontId="8" fillId="6" borderId="2" xfId="8" applyNumberFormat="1" applyFont="1" applyFill="1" applyBorder="1" applyAlignment="1">
      <alignment horizontal="center" vertical="center" wrapText="1"/>
    </xf>
    <xf numFmtId="1" fontId="7" fillId="4" borderId="3" xfId="8" applyNumberFormat="1" applyFont="1" applyFill="1" applyBorder="1" applyAlignment="1">
      <alignment horizontal="center"/>
    </xf>
    <xf numFmtId="9" fontId="7" fillId="4" borderId="3" xfId="8" applyNumberFormat="1" applyFont="1" applyFill="1" applyBorder="1"/>
    <xf numFmtId="165" fontId="7" fillId="4" borderId="3" xfId="0" applyNumberFormat="1" applyFont="1" applyFill="1" applyBorder="1" applyAlignment="1">
      <alignment horizontal="center"/>
    </xf>
    <xf numFmtId="164" fontId="7" fillId="4" borderId="3" xfId="7" applyNumberFormat="1" applyFont="1" applyFill="1" applyBorder="1"/>
    <xf numFmtId="1" fontId="7" fillId="4" borderId="4" xfId="8" applyNumberFormat="1" applyFont="1" applyFill="1" applyBorder="1" applyAlignment="1">
      <alignment horizontal="center"/>
    </xf>
    <xf numFmtId="9" fontId="7" fillId="4" borderId="4" xfId="8" applyNumberFormat="1" applyFont="1" applyFill="1" applyBorder="1"/>
    <xf numFmtId="165" fontId="7" fillId="4" borderId="4" xfId="0" applyNumberFormat="1" applyFont="1" applyFill="1" applyBorder="1" applyAlignment="1">
      <alignment horizontal="center"/>
    </xf>
    <xf numFmtId="164" fontId="7" fillId="4" borderId="4" xfId="7" applyNumberFormat="1" applyFont="1" applyFill="1" applyBorder="1"/>
    <xf numFmtId="1" fontId="7" fillId="4" borderId="5" xfId="8" applyNumberFormat="1" applyFont="1" applyFill="1" applyBorder="1" applyAlignment="1">
      <alignment horizontal="center"/>
    </xf>
    <xf numFmtId="9" fontId="7" fillId="4" borderId="5" xfId="8" applyNumberFormat="1" applyFont="1" applyFill="1" applyBorder="1"/>
    <xf numFmtId="165" fontId="7" fillId="4" borderId="5" xfId="0" applyNumberFormat="1" applyFont="1" applyFill="1" applyBorder="1" applyAlignment="1">
      <alignment horizontal="center"/>
    </xf>
    <xf numFmtId="164" fontId="7" fillId="4" borderId="5" xfId="7" applyNumberFormat="1" applyFont="1" applyFill="1" applyBorder="1"/>
    <xf numFmtId="1" fontId="7" fillId="9" borderId="3" xfId="8" applyNumberFormat="1" applyFont="1" applyFill="1" applyBorder="1" applyAlignment="1">
      <alignment horizontal="center"/>
    </xf>
    <xf numFmtId="9" fontId="7" fillId="9" borderId="3" xfId="8" applyNumberFormat="1" applyFont="1" applyFill="1" applyBorder="1"/>
    <xf numFmtId="165" fontId="7" fillId="9" borderId="3" xfId="0" applyNumberFormat="1" applyFont="1" applyFill="1" applyBorder="1" applyAlignment="1">
      <alignment horizontal="center"/>
    </xf>
    <xf numFmtId="164" fontId="7" fillId="9" borderId="3" xfId="7" applyNumberFormat="1" applyFont="1" applyFill="1" applyBorder="1"/>
    <xf numFmtId="1" fontId="7" fillId="9" borderId="4" xfId="8" applyNumberFormat="1" applyFont="1" applyFill="1" applyBorder="1" applyAlignment="1">
      <alignment horizontal="center"/>
    </xf>
    <xf numFmtId="9" fontId="7" fillId="9" borderId="4" xfId="8" applyNumberFormat="1" applyFont="1" applyFill="1" applyBorder="1"/>
    <xf numFmtId="165" fontId="7" fillId="9" borderId="4" xfId="0" applyNumberFormat="1" applyFont="1" applyFill="1" applyBorder="1" applyAlignment="1">
      <alignment horizontal="center"/>
    </xf>
    <xf numFmtId="164" fontId="7" fillId="9" borderId="4" xfId="7" applyNumberFormat="1" applyFont="1" applyFill="1" applyBorder="1"/>
    <xf numFmtId="1" fontId="7" fillId="9" borderId="5" xfId="8" applyNumberFormat="1" applyFont="1" applyFill="1" applyBorder="1" applyAlignment="1">
      <alignment horizontal="center"/>
    </xf>
    <xf numFmtId="9" fontId="7" fillId="9" borderId="5" xfId="8" applyNumberFormat="1" applyFont="1" applyFill="1" applyBorder="1"/>
    <xf numFmtId="165" fontId="7" fillId="9" borderId="5" xfId="0" applyNumberFormat="1" applyFont="1" applyFill="1" applyBorder="1" applyAlignment="1">
      <alignment horizontal="center"/>
    </xf>
    <xf numFmtId="164" fontId="7" fillId="9" borderId="5" xfId="7" applyNumberFormat="1" applyFont="1" applyFill="1" applyBorder="1"/>
    <xf numFmtId="9" fontId="7" fillId="4" borderId="6" xfId="8" applyNumberFormat="1" applyFont="1" applyFill="1" applyBorder="1"/>
    <xf numFmtId="165" fontId="11" fillId="8" borderId="3" xfId="1" applyNumberFormat="1" applyFont="1" applyFill="1" applyBorder="1" applyAlignment="1">
      <alignment horizontal="center"/>
    </xf>
    <xf numFmtId="165" fontId="11" fillId="4" borderId="4" xfId="1" applyNumberFormat="1" applyFont="1" applyFill="1" applyBorder="1" applyAlignment="1">
      <alignment horizontal="center"/>
    </xf>
    <xf numFmtId="9" fontId="12" fillId="4" borderId="2" xfId="8" applyNumberFormat="1" applyFont="1" applyFill="1" applyBorder="1" applyAlignment="1">
      <alignment horizontal="center" vertical="center"/>
    </xf>
    <xf numFmtId="165" fontId="12" fillId="4" borderId="2" xfId="8" applyNumberFormat="1" applyFont="1" applyFill="1" applyBorder="1" applyAlignment="1">
      <alignment horizontal="center" vertical="center"/>
    </xf>
    <xf numFmtId="165" fontId="7" fillId="4" borderId="3" xfId="7" applyNumberFormat="1" applyFont="1" applyFill="1" applyBorder="1"/>
    <xf numFmtId="165" fontId="7" fillId="4" borderId="4" xfId="7" applyNumberFormat="1" applyFont="1" applyFill="1" applyBorder="1"/>
    <xf numFmtId="165" fontId="7" fillId="4" borderId="5" xfId="7" applyNumberFormat="1" applyFont="1" applyFill="1" applyBorder="1"/>
    <xf numFmtId="165" fontId="7" fillId="9" borderId="3" xfId="7" applyNumberFormat="1" applyFont="1" applyFill="1" applyBorder="1"/>
    <xf numFmtId="165" fontId="7" fillId="9" borderId="4" xfId="7" applyNumberFormat="1" applyFont="1" applyFill="1" applyBorder="1"/>
    <xf numFmtId="165" fontId="7" fillId="9" borderId="5" xfId="7" applyNumberFormat="1" applyFont="1" applyFill="1" applyBorder="1"/>
    <xf numFmtId="10" fontId="7" fillId="4" borderId="0" xfId="8" applyNumberFormat="1" applyFont="1" applyFill="1"/>
    <xf numFmtId="0" fontId="0" fillId="9" borderId="0" xfId="5" applyFont="1" applyFill="1"/>
    <xf numFmtId="0" fontId="2" fillId="4" borderId="0" xfId="5" applyFont="1" applyFill="1" applyAlignment="1">
      <alignment horizontal="center" vertical="center"/>
    </xf>
    <xf numFmtId="0" fontId="0" fillId="4" borderId="0" xfId="4" applyFont="1" applyFill="1"/>
    <xf numFmtId="0" fontId="5" fillId="2" borderId="0" xfId="4" applyFont="1" applyFill="1"/>
    <xf numFmtId="0" fontId="5" fillId="2" borderId="0" xfId="1" applyFont="1" applyFill="1"/>
    <xf numFmtId="0" fontId="6" fillId="4" borderId="0" xfId="4" applyFont="1" applyFill="1"/>
    <xf numFmtId="0" fontId="6" fillId="4" borderId="0" xfId="1" applyFont="1" applyFill="1"/>
    <xf numFmtId="0" fontId="6" fillId="3" borderId="0" xfId="1" applyFont="1" applyFill="1" applyAlignment="1">
      <alignment horizontal="center"/>
    </xf>
    <xf numFmtId="0" fontId="6" fillId="4" borderId="0" xfId="4" applyFont="1" applyFill="1" applyAlignment="1">
      <alignment horizontal="center"/>
    </xf>
    <xf numFmtId="0" fontId="6" fillId="4" borderId="0" xfId="1" applyFont="1" applyFill="1" applyAlignment="1">
      <alignment horizontal="center"/>
    </xf>
    <xf numFmtId="17" fontId="6" fillId="4" borderId="0" xfId="1" applyNumberFormat="1" applyFont="1" applyFill="1" applyAlignment="1">
      <alignment horizontal="center"/>
    </xf>
    <xf numFmtId="0" fontId="2" fillId="3" borderId="0" xfId="1" applyFont="1" applyFill="1" applyAlignment="1">
      <alignment horizontal="center"/>
    </xf>
    <xf numFmtId="0" fontId="2" fillId="4" borderId="0" xfId="1" applyFont="1" applyFill="1" applyAlignment="1">
      <alignment horizontal="center"/>
    </xf>
    <xf numFmtId="0" fontId="0" fillId="4" borderId="11" xfId="4" applyFont="1" applyFill="1" applyBorder="1"/>
    <xf numFmtId="0" fontId="5" fillId="2" borderId="0" xfId="4" applyFont="1" applyFill="1" applyAlignment="1">
      <alignment horizontal="center"/>
    </xf>
    <xf numFmtId="0" fontId="0" fillId="2" borderId="0" xfId="4" applyFont="1" applyFill="1"/>
    <xf numFmtId="0" fontId="0" fillId="2" borderId="0" xfId="1" applyFont="1" applyFill="1"/>
    <xf numFmtId="1" fontId="13" fillId="4" borderId="3" xfId="8" applyNumberFormat="1" applyFont="1" applyFill="1" applyBorder="1" applyAlignment="1">
      <alignment horizontal="center"/>
    </xf>
    <xf numFmtId="9" fontId="13" fillId="4" borderId="3" xfId="8" applyNumberFormat="1" applyFont="1" applyFill="1" applyBorder="1"/>
    <xf numFmtId="1" fontId="13" fillId="4" borderId="4" xfId="8" applyNumberFormat="1" applyFont="1" applyFill="1" applyBorder="1" applyAlignment="1">
      <alignment horizontal="center"/>
    </xf>
    <xf numFmtId="9" fontId="13" fillId="4" borderId="4" xfId="8" applyNumberFormat="1" applyFont="1" applyFill="1" applyBorder="1"/>
    <xf numFmtId="1" fontId="13" fillId="4" borderId="5" xfId="8" applyNumberFormat="1" applyFont="1" applyFill="1" applyBorder="1" applyAlignment="1">
      <alignment horizontal="center"/>
    </xf>
    <xf numFmtId="9" fontId="13" fillId="4" borderId="5" xfId="8" applyNumberFormat="1" applyFont="1" applyFill="1" applyBorder="1"/>
    <xf numFmtId="1" fontId="13" fillId="9" borderId="3" xfId="8" applyNumberFormat="1" applyFont="1" applyFill="1" applyBorder="1" applyAlignment="1">
      <alignment horizontal="center"/>
    </xf>
    <xf numFmtId="9" fontId="13" fillId="9" borderId="3" xfId="8" applyNumberFormat="1" applyFont="1" applyFill="1" applyBorder="1"/>
    <xf numFmtId="1" fontId="13" fillId="9" borderId="4" xfId="8" applyNumberFormat="1" applyFont="1" applyFill="1" applyBorder="1" applyAlignment="1">
      <alignment horizontal="center"/>
    </xf>
    <xf numFmtId="9" fontId="13" fillId="9" borderId="4" xfId="8" applyNumberFormat="1" applyFont="1" applyFill="1" applyBorder="1"/>
    <xf numFmtId="1" fontId="13" fillId="9" borderId="5" xfId="8" applyNumberFormat="1" applyFont="1" applyFill="1" applyBorder="1" applyAlignment="1">
      <alignment horizontal="center"/>
    </xf>
    <xf numFmtId="9" fontId="13" fillId="9" borderId="5" xfId="8" applyNumberFormat="1" applyFont="1" applyFill="1" applyBorder="1"/>
    <xf numFmtId="9" fontId="13" fillId="4" borderId="6" xfId="8" applyNumberFormat="1" applyFont="1" applyFill="1" applyBorder="1"/>
    <xf numFmtId="9" fontId="13" fillId="4" borderId="0" xfId="8" applyNumberFormat="1" applyFont="1" applyFill="1"/>
    <xf numFmtId="17" fontId="13" fillId="7" borderId="2" xfId="8" applyNumberFormat="1" applyFont="1" applyFill="1" applyBorder="1" applyAlignment="1">
      <alignment horizontal="center" vertical="center"/>
    </xf>
    <xf numFmtId="166" fontId="13" fillId="4" borderId="3" xfId="0" applyNumberFormat="1" applyFont="1" applyFill="1" applyBorder="1" applyAlignment="1">
      <alignment horizontal="center"/>
    </xf>
    <xf numFmtId="166" fontId="13" fillId="4" borderId="4" xfId="0" applyNumberFormat="1" applyFont="1" applyFill="1" applyBorder="1" applyAlignment="1">
      <alignment horizontal="center"/>
    </xf>
    <xf numFmtId="166" fontId="13" fillId="4" borderId="5" xfId="0" applyNumberFormat="1" applyFont="1" applyFill="1" applyBorder="1" applyAlignment="1">
      <alignment horizontal="center"/>
    </xf>
    <xf numFmtId="166" fontId="13" fillId="9" borderId="3" xfId="0" applyNumberFormat="1" applyFont="1" applyFill="1" applyBorder="1" applyAlignment="1">
      <alignment horizontal="center"/>
    </xf>
    <xf numFmtId="166" fontId="13" fillId="9" borderId="4" xfId="0" applyNumberFormat="1" applyFont="1" applyFill="1" applyBorder="1" applyAlignment="1">
      <alignment horizontal="center"/>
    </xf>
    <xf numFmtId="166" fontId="13" fillId="9" borderId="5" xfId="0" applyNumberFormat="1" applyFont="1" applyFill="1" applyBorder="1" applyAlignment="1">
      <alignment horizontal="center"/>
    </xf>
    <xf numFmtId="166" fontId="13" fillId="8" borderId="3" xfId="1" applyNumberFormat="1" applyFont="1" applyFill="1" applyBorder="1" applyAlignment="1">
      <alignment horizontal="center"/>
    </xf>
    <xf numFmtId="166" fontId="13" fillId="4" borderId="4" xfId="1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2" fontId="7" fillId="4" borderId="0" xfId="8" applyNumberFormat="1" applyFont="1" applyFill="1"/>
    <xf numFmtId="167" fontId="7" fillId="4" borderId="0" xfId="8" applyNumberFormat="1" applyFont="1" applyFill="1"/>
    <xf numFmtId="168" fontId="7" fillId="4" borderId="0" xfId="8" applyNumberFormat="1" applyFont="1" applyFill="1"/>
    <xf numFmtId="9" fontId="7" fillId="4" borderId="0" xfId="0" applyNumberFormat="1" applyFont="1" applyFill="1"/>
    <xf numFmtId="1" fontId="13" fillId="4" borderId="5" xfId="0" applyNumberFormat="1" applyFont="1" applyFill="1" applyBorder="1" applyAlignment="1">
      <alignment horizontal="center"/>
    </xf>
    <xf numFmtId="9" fontId="13" fillId="4" borderId="4" xfId="0" applyNumberFormat="1" applyFont="1" applyFill="1" applyBorder="1"/>
    <xf numFmtId="166" fontId="13" fillId="4" borderId="4" xfId="8" applyNumberFormat="1" applyFont="1" applyFill="1" applyBorder="1" applyAlignment="1">
      <alignment horizontal="center"/>
    </xf>
    <xf numFmtId="165" fontId="7" fillId="4" borderId="4" xfId="8" applyNumberFormat="1" applyFont="1" applyFill="1" applyBorder="1" applyAlignment="1">
      <alignment horizontal="center"/>
    </xf>
    <xf numFmtId="164" fontId="7" fillId="4" borderId="12" xfId="11" applyNumberFormat="1" applyFont="1" applyFill="1" applyBorder="1"/>
    <xf numFmtId="164" fontId="7" fillId="4" borderId="5" xfId="11" applyNumberFormat="1" applyFont="1" applyFill="1" applyBorder="1"/>
    <xf numFmtId="9" fontId="7" fillId="4" borderId="10" xfId="0" applyNumberFormat="1" applyFont="1" applyFill="1" applyBorder="1"/>
    <xf numFmtId="0" fontId="14" fillId="4" borderId="6" xfId="1" applyFont="1" applyFill="1" applyBorder="1"/>
    <xf numFmtId="0" fontId="14" fillId="4" borderId="3" xfId="1" applyFont="1" applyFill="1" applyBorder="1"/>
    <xf numFmtId="0" fontId="14" fillId="4" borderId="1" xfId="1" applyFont="1" applyFill="1" applyBorder="1"/>
    <xf numFmtId="0" fontId="14" fillId="4" borderId="4" xfId="1" applyFont="1" applyFill="1" applyBorder="1"/>
    <xf numFmtId="0" fontId="14" fillId="4" borderId="8" xfId="1" applyFont="1" applyFill="1" applyBorder="1"/>
    <xf numFmtId="0" fontId="14" fillId="4" borderId="5" xfId="1" applyFont="1" applyFill="1" applyBorder="1"/>
    <xf numFmtId="0" fontId="14" fillId="4" borderId="9" xfId="1" applyFont="1" applyFill="1" applyBorder="1"/>
    <xf numFmtId="0" fontId="14" fillId="4" borderId="2" xfId="1" applyFont="1" applyFill="1" applyBorder="1"/>
    <xf numFmtId="0" fontId="14" fillId="4" borderId="0" xfId="1" applyFont="1" applyFill="1" applyAlignment="1">
      <alignment horizontal="left"/>
    </xf>
    <xf numFmtId="0" fontId="14" fillId="4" borderId="0" xfId="1" applyFont="1" applyFill="1" applyAlignment="1">
      <alignment horizontal="center"/>
    </xf>
    <xf numFmtId="0" fontId="0" fillId="4" borderId="0" xfId="1" applyFont="1" applyFill="1" applyAlignment="1">
      <alignment horizontal="left"/>
    </xf>
    <xf numFmtId="0" fontId="0" fillId="4" borderId="0" xfId="1" applyFont="1" applyFill="1"/>
    <xf numFmtId="164" fontId="7" fillId="4" borderId="0" xfId="11" applyNumberFormat="1" applyFont="1" applyFill="1"/>
    <xf numFmtId="165" fontId="7" fillId="4" borderId="0" xfId="8" applyNumberFormat="1" applyFont="1" applyFill="1" applyAlignment="1">
      <alignment horizontal="center"/>
    </xf>
    <xf numFmtId="10" fontId="7" fillId="4" borderId="0" xfId="8" applyNumberFormat="1" applyFont="1" applyFill="1" applyAlignment="1">
      <alignment horizontal="center"/>
    </xf>
    <xf numFmtId="0" fontId="2" fillId="4" borderId="0" xfId="5" applyFont="1" applyFill="1" applyAlignment="1">
      <alignment vertical="center"/>
    </xf>
    <xf numFmtId="0" fontId="2" fillId="4" borderId="0" xfId="1" applyFont="1" applyFill="1"/>
  </cellXfs>
  <cellStyles count="12">
    <cellStyle name="Énfasis6 2" xfId="5"/>
    <cellStyle name="Estilo 1" xfId="11"/>
    <cellStyle name="Estilo 1 2" xfId="2"/>
    <cellStyle name="Normal" xfId="0" builtinId="0"/>
    <cellStyle name="Normal 2" xfId="4"/>
    <cellStyle name="Normal 2 2" xfId="7"/>
    <cellStyle name="Normal 3" xfId="1"/>
    <cellStyle name="Normal 3 2" xfId="9"/>
    <cellStyle name="Normal 4" xfId="3"/>
    <cellStyle name="Normal 5" xfId="8"/>
    <cellStyle name="Normal 6" xfId="6"/>
    <cellStyle name="Porcentual 2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3</xdr:row>
          <xdr:rowOff>57150</xdr:rowOff>
        </xdr:from>
        <xdr:to>
          <xdr:col>3</xdr:col>
          <xdr:colOff>485775</xdr:colOff>
          <xdr:row>5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01 - DB_LAST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12</xdr:row>
          <xdr:rowOff>38100</xdr:rowOff>
        </xdr:from>
        <xdr:to>
          <xdr:col>3</xdr:col>
          <xdr:colOff>447675</xdr:colOff>
          <xdr:row>14</xdr:row>
          <xdr:rowOff>85725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02 - CPI_FOOD_LAST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3</xdr:row>
          <xdr:rowOff>85725</xdr:rowOff>
        </xdr:from>
        <xdr:to>
          <xdr:col>16</xdr:col>
          <xdr:colOff>561975</xdr:colOff>
          <xdr:row>5</xdr:row>
          <xdr:rowOff>114300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DB_RANGE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6</xdr:row>
          <xdr:rowOff>28575</xdr:rowOff>
        </xdr:from>
        <xdr:to>
          <xdr:col>3</xdr:col>
          <xdr:colOff>466725</xdr:colOff>
          <xdr:row>8</xdr:row>
          <xdr:rowOff>104775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Bebidas_LAST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211</xdr:row>
          <xdr:rowOff>28575</xdr:rowOff>
        </xdr:from>
        <xdr:to>
          <xdr:col>3</xdr:col>
          <xdr:colOff>333375</xdr:colOff>
          <xdr:row>213</xdr:row>
          <xdr:rowOff>95250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Productos_LAST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214</xdr:row>
          <xdr:rowOff>9525</xdr:rowOff>
        </xdr:from>
        <xdr:to>
          <xdr:col>3</xdr:col>
          <xdr:colOff>323850</xdr:colOff>
          <xdr:row>216</xdr:row>
          <xdr:rowOff>95250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Sectores_LAST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C00000"/>
  </sheetPr>
  <dimension ref="A1:V214"/>
  <sheetViews>
    <sheetView tabSelected="1" zoomScale="80" zoomScaleNormal="80" workbookViewId="0">
      <selection activeCell="N6" sqref="N6"/>
    </sheetView>
  </sheetViews>
  <sheetFormatPr baseColWidth="10" defaultColWidth="0" defaultRowHeight="12.75" x14ac:dyDescent="0.2"/>
  <cols>
    <col min="1" max="1" width="1.7109375" style="3" customWidth="1"/>
    <col min="2" max="4" width="11.42578125" style="3" customWidth="1"/>
    <col min="5" max="5" width="3.85546875" style="3" bestFit="1" customWidth="1"/>
    <col min="6" max="8" width="11.42578125" style="3" customWidth="1"/>
    <col min="9" max="9" width="17.140625" style="3" bestFit="1" customWidth="1"/>
    <col min="10" max="17" width="11.42578125" style="3" customWidth="1"/>
    <col min="18" max="18" width="3.85546875" style="3" bestFit="1" customWidth="1"/>
    <col min="19" max="19" width="1.42578125" style="3" customWidth="1"/>
    <col min="20" max="20" width="17.140625" style="3" hidden="1" customWidth="1"/>
    <col min="21" max="22" width="0" style="3" hidden="1"/>
    <col min="23" max="188" width="11.42578125" style="3" hidden="1" customWidth="1"/>
    <col min="189" max="16384" width="11.42578125" style="3" hidden="1"/>
  </cols>
  <sheetData>
    <row r="1" spans="2:22" x14ac:dyDescent="0.2">
      <c r="V1" s="4" t="s">
        <v>0</v>
      </c>
    </row>
    <row r="2" spans="2:22" x14ac:dyDescent="0.2">
      <c r="B2" s="6" t="s">
        <v>1</v>
      </c>
      <c r="V2" s="5">
        <v>39448</v>
      </c>
    </row>
    <row r="3" spans="2:22" x14ac:dyDescent="0.2">
      <c r="T3" s="3" t="s">
        <v>2</v>
      </c>
      <c r="V3" s="5">
        <v>39479</v>
      </c>
    </row>
    <row r="4" spans="2:22" x14ac:dyDescent="0.2">
      <c r="M4" s="55" t="s">
        <v>3</v>
      </c>
      <c r="N4" s="55" t="s">
        <v>4</v>
      </c>
      <c r="T4" s="3" t="s">
        <v>5</v>
      </c>
      <c r="V4" s="5">
        <v>39508</v>
      </c>
    </row>
    <row r="5" spans="2:22" x14ac:dyDescent="0.2">
      <c r="E5" s="9" t="s">
        <v>6</v>
      </c>
      <c r="L5" s="8" t="s">
        <v>7</v>
      </c>
      <c r="M5" s="7">
        <v>2017</v>
      </c>
      <c r="N5" s="7">
        <v>1</v>
      </c>
      <c r="R5" s="9" t="s">
        <v>6</v>
      </c>
      <c r="S5" s="55"/>
      <c r="T5" s="3" t="s">
        <v>8</v>
      </c>
      <c r="V5" s="5">
        <v>39539</v>
      </c>
    </row>
    <row r="6" spans="2:22" x14ac:dyDescent="0.2">
      <c r="L6" s="8" t="s">
        <v>9</v>
      </c>
      <c r="M6" s="7">
        <v>2017</v>
      </c>
      <c r="N6" s="7">
        <v>5</v>
      </c>
      <c r="T6" s="3" t="s">
        <v>10</v>
      </c>
      <c r="V6" s="5">
        <v>39569</v>
      </c>
    </row>
    <row r="7" spans="2:22" x14ac:dyDescent="0.2">
      <c r="K7" s="8"/>
      <c r="M7" s="8"/>
      <c r="V7" s="5"/>
    </row>
    <row r="8" spans="2:22" x14ac:dyDescent="0.2">
      <c r="T8" s="3" t="s">
        <v>11</v>
      </c>
      <c r="V8" s="5">
        <v>39600</v>
      </c>
    </row>
    <row r="9" spans="2:22" x14ac:dyDescent="0.2">
      <c r="T9" s="3" t="s">
        <v>12</v>
      </c>
      <c r="V9" s="5">
        <v>39661</v>
      </c>
    </row>
    <row r="10" spans="2:22" x14ac:dyDescent="0.2">
      <c r="V10" s="5">
        <v>39904</v>
      </c>
    </row>
    <row r="11" spans="2:22" x14ac:dyDescent="0.2">
      <c r="B11" s="121" t="s">
        <v>13</v>
      </c>
      <c r="V11" s="5">
        <v>39934</v>
      </c>
    </row>
    <row r="12" spans="2:22" x14ac:dyDescent="0.2">
      <c r="V12" s="5">
        <v>39965</v>
      </c>
    </row>
    <row r="13" spans="2:22" x14ac:dyDescent="0.2">
      <c r="V13" s="5">
        <v>39995</v>
      </c>
    </row>
    <row r="14" spans="2:22" x14ac:dyDescent="0.2">
      <c r="E14" s="9" t="s">
        <v>6</v>
      </c>
      <c r="S14" s="55"/>
      <c r="V14" s="5">
        <v>40026</v>
      </c>
    </row>
    <row r="15" spans="2:22" x14ac:dyDescent="0.2">
      <c r="V15" s="5">
        <v>40057</v>
      </c>
    </row>
    <row r="16" spans="2:22" x14ac:dyDescent="0.2">
      <c r="V16" s="5">
        <v>40087</v>
      </c>
    </row>
    <row r="17" spans="2:22" x14ac:dyDescent="0.2">
      <c r="B17" s="121" t="s">
        <v>14</v>
      </c>
      <c r="V17" s="5">
        <v>40118</v>
      </c>
    </row>
    <row r="18" spans="2:22" hidden="1" x14ac:dyDescent="0.2">
      <c r="V18" s="5">
        <v>40148</v>
      </c>
    </row>
    <row r="19" spans="2:22" hidden="1" x14ac:dyDescent="0.2">
      <c r="V19" s="5">
        <v>40179</v>
      </c>
    </row>
    <row r="20" spans="2:22" hidden="1" x14ac:dyDescent="0.2">
      <c r="V20" s="5">
        <v>40210</v>
      </c>
    </row>
    <row r="21" spans="2:22" hidden="1" x14ac:dyDescent="0.2">
      <c r="V21" s="5">
        <v>40238</v>
      </c>
    </row>
    <row r="22" spans="2:22" hidden="1" x14ac:dyDescent="0.2">
      <c r="V22" s="5">
        <v>40269</v>
      </c>
    </row>
    <row r="23" spans="2:22" hidden="1" x14ac:dyDescent="0.2">
      <c r="V23" s="5">
        <v>40299</v>
      </c>
    </row>
    <row r="24" spans="2:22" hidden="1" x14ac:dyDescent="0.2">
      <c r="V24" s="5">
        <v>40330</v>
      </c>
    </row>
    <row r="25" spans="2:22" hidden="1" x14ac:dyDescent="0.2">
      <c r="V25" s="5">
        <v>40360</v>
      </c>
    </row>
    <row r="26" spans="2:22" hidden="1" x14ac:dyDescent="0.2">
      <c r="V26" s="5">
        <v>40391</v>
      </c>
    </row>
    <row r="27" spans="2:22" hidden="1" x14ac:dyDescent="0.2">
      <c r="V27" s="5">
        <v>40422</v>
      </c>
    </row>
    <row r="28" spans="2:22" hidden="1" x14ac:dyDescent="0.2">
      <c r="V28" s="5">
        <v>40452</v>
      </c>
    </row>
    <row r="29" spans="2:22" hidden="1" x14ac:dyDescent="0.2">
      <c r="V29" s="5">
        <v>40483</v>
      </c>
    </row>
    <row r="30" spans="2:22" hidden="1" x14ac:dyDescent="0.2">
      <c r="V30" s="5">
        <v>40513</v>
      </c>
    </row>
    <row r="31" spans="2:22" hidden="1" x14ac:dyDescent="0.2">
      <c r="V31" s="5">
        <v>40544</v>
      </c>
    </row>
    <row r="32" spans="2:22" hidden="1" x14ac:dyDescent="0.2">
      <c r="V32" s="5">
        <v>40575</v>
      </c>
    </row>
    <row r="33" spans="22:22" hidden="1" x14ac:dyDescent="0.2">
      <c r="V33" s="5">
        <v>40603</v>
      </c>
    </row>
    <row r="34" spans="22:22" hidden="1" x14ac:dyDescent="0.2">
      <c r="V34" s="5">
        <v>40634</v>
      </c>
    </row>
    <row r="35" spans="22:22" hidden="1" x14ac:dyDescent="0.2">
      <c r="V35" s="5">
        <v>40664</v>
      </c>
    </row>
    <row r="36" spans="22:22" hidden="1" x14ac:dyDescent="0.2">
      <c r="V36" s="5">
        <v>40695</v>
      </c>
    </row>
    <row r="37" spans="22:22" hidden="1" x14ac:dyDescent="0.2">
      <c r="V37" s="5">
        <v>40725</v>
      </c>
    </row>
    <row r="38" spans="22:22" hidden="1" x14ac:dyDescent="0.2">
      <c r="V38" s="5">
        <v>40756</v>
      </c>
    </row>
    <row r="39" spans="22:22" hidden="1" x14ac:dyDescent="0.2">
      <c r="V39" s="5">
        <v>40787</v>
      </c>
    </row>
    <row r="40" spans="22:22" hidden="1" x14ac:dyDescent="0.2">
      <c r="V40" s="5">
        <v>40817</v>
      </c>
    </row>
    <row r="41" spans="22:22" hidden="1" x14ac:dyDescent="0.2">
      <c r="V41" s="5">
        <v>40848</v>
      </c>
    </row>
    <row r="42" spans="22:22" hidden="1" x14ac:dyDescent="0.2">
      <c r="V42" s="5">
        <v>40878</v>
      </c>
    </row>
    <row r="43" spans="22:22" hidden="1" x14ac:dyDescent="0.2">
      <c r="V43" s="5">
        <v>40909</v>
      </c>
    </row>
    <row r="44" spans="22:22" hidden="1" x14ac:dyDescent="0.2">
      <c r="V44" s="5">
        <v>40940</v>
      </c>
    </row>
    <row r="45" spans="22:22" hidden="1" x14ac:dyDescent="0.2">
      <c r="V45" s="5">
        <v>40969</v>
      </c>
    </row>
    <row r="46" spans="22:22" hidden="1" x14ac:dyDescent="0.2">
      <c r="V46" s="5">
        <v>41000</v>
      </c>
    </row>
    <row r="47" spans="22:22" hidden="1" x14ac:dyDescent="0.2">
      <c r="V47" s="5">
        <v>41030</v>
      </c>
    </row>
    <row r="48" spans="22:22" hidden="1" x14ac:dyDescent="0.2">
      <c r="V48" s="5">
        <v>41061</v>
      </c>
    </row>
    <row r="49" spans="22:22" hidden="1" x14ac:dyDescent="0.2">
      <c r="V49" s="5">
        <v>41091</v>
      </c>
    </row>
    <row r="50" spans="22:22" hidden="1" x14ac:dyDescent="0.2">
      <c r="V50" s="5">
        <v>41122</v>
      </c>
    </row>
    <row r="51" spans="22:22" hidden="1" x14ac:dyDescent="0.2">
      <c r="V51" s="5">
        <v>41153</v>
      </c>
    </row>
    <row r="52" spans="22:22" hidden="1" x14ac:dyDescent="0.2">
      <c r="V52" s="5">
        <v>41183</v>
      </c>
    </row>
    <row r="53" spans="22:22" hidden="1" x14ac:dyDescent="0.2">
      <c r="V53" s="5">
        <v>41214</v>
      </c>
    </row>
    <row r="54" spans="22:22" hidden="1" x14ac:dyDescent="0.2">
      <c r="V54" s="5">
        <v>41244</v>
      </c>
    </row>
    <row r="55" spans="22:22" hidden="1" x14ac:dyDescent="0.2">
      <c r="V55" s="5">
        <v>41275</v>
      </c>
    </row>
    <row r="56" spans="22:22" hidden="1" x14ac:dyDescent="0.2">
      <c r="V56" s="5">
        <v>41306</v>
      </c>
    </row>
    <row r="57" spans="22:22" hidden="1" x14ac:dyDescent="0.2">
      <c r="V57" s="5">
        <v>41334</v>
      </c>
    </row>
    <row r="58" spans="22:22" hidden="1" x14ac:dyDescent="0.2">
      <c r="V58" s="5">
        <v>41365</v>
      </c>
    </row>
    <row r="59" spans="22:22" hidden="1" x14ac:dyDescent="0.2">
      <c r="V59" s="5">
        <v>41395</v>
      </c>
    </row>
    <row r="60" spans="22:22" hidden="1" x14ac:dyDescent="0.2">
      <c r="V60" s="5">
        <v>41426</v>
      </c>
    </row>
    <row r="61" spans="22:22" hidden="1" x14ac:dyDescent="0.2">
      <c r="V61" s="5">
        <v>41456</v>
      </c>
    </row>
    <row r="62" spans="22:22" hidden="1" x14ac:dyDescent="0.2">
      <c r="V62" s="5">
        <v>41487</v>
      </c>
    </row>
    <row r="63" spans="22:22" hidden="1" x14ac:dyDescent="0.2">
      <c r="V63" s="5">
        <v>41518</v>
      </c>
    </row>
    <row r="64" spans="22:22" hidden="1" x14ac:dyDescent="0.2">
      <c r="V64" s="5">
        <v>41548</v>
      </c>
    </row>
    <row r="65" spans="22:22" hidden="1" x14ac:dyDescent="0.2">
      <c r="V65" s="5">
        <v>41579</v>
      </c>
    </row>
    <row r="66" spans="22:22" hidden="1" x14ac:dyDescent="0.2">
      <c r="V66" s="5">
        <v>41609</v>
      </c>
    </row>
    <row r="67" spans="22:22" hidden="1" x14ac:dyDescent="0.2">
      <c r="V67" s="5">
        <v>41640</v>
      </c>
    </row>
    <row r="68" spans="22:22" hidden="1" x14ac:dyDescent="0.2">
      <c r="V68" s="5">
        <v>41671</v>
      </c>
    </row>
    <row r="69" spans="22:22" hidden="1" x14ac:dyDescent="0.2">
      <c r="V69" s="5">
        <v>41699</v>
      </c>
    </row>
    <row r="70" spans="22:22" hidden="1" x14ac:dyDescent="0.2">
      <c r="V70" s="5">
        <v>41730</v>
      </c>
    </row>
    <row r="71" spans="22:22" hidden="1" x14ac:dyDescent="0.2">
      <c r="V71" s="5">
        <v>41760</v>
      </c>
    </row>
    <row r="72" spans="22:22" hidden="1" x14ac:dyDescent="0.2">
      <c r="V72" s="5">
        <v>41791</v>
      </c>
    </row>
    <row r="73" spans="22:22" hidden="1" x14ac:dyDescent="0.2">
      <c r="V73" s="5">
        <v>41821</v>
      </c>
    </row>
    <row r="74" spans="22:22" hidden="1" x14ac:dyDescent="0.2">
      <c r="V74" s="5">
        <v>41852</v>
      </c>
    </row>
    <row r="75" spans="22:22" hidden="1" x14ac:dyDescent="0.2">
      <c r="V75" s="5">
        <v>41883</v>
      </c>
    </row>
    <row r="76" spans="22:22" hidden="1" x14ac:dyDescent="0.2">
      <c r="V76" s="5">
        <v>41913</v>
      </c>
    </row>
    <row r="77" spans="22:22" hidden="1" x14ac:dyDescent="0.2">
      <c r="V77" s="5">
        <v>41944</v>
      </c>
    </row>
    <row r="78" spans="22:22" hidden="1" x14ac:dyDescent="0.2">
      <c r="V78" s="5">
        <v>41974</v>
      </c>
    </row>
    <row r="79" spans="22:22" hidden="1" x14ac:dyDescent="0.2">
      <c r="V79" s="5">
        <v>42005</v>
      </c>
    </row>
    <row r="80" spans="22:22" hidden="1" x14ac:dyDescent="0.2">
      <c r="V80" s="5">
        <v>42036</v>
      </c>
    </row>
    <row r="81" spans="22:22" hidden="1" x14ac:dyDescent="0.2">
      <c r="V81" s="5">
        <v>42064</v>
      </c>
    </row>
    <row r="82" spans="22:22" hidden="1" x14ac:dyDescent="0.2">
      <c r="V82" s="5">
        <v>42095</v>
      </c>
    </row>
    <row r="83" spans="22:22" hidden="1" x14ac:dyDescent="0.2">
      <c r="V83" s="5">
        <v>42125</v>
      </c>
    </row>
    <row r="84" spans="22:22" hidden="1" x14ac:dyDescent="0.2">
      <c r="V84" s="5">
        <v>42156</v>
      </c>
    </row>
    <row r="85" spans="22:22" hidden="1" x14ac:dyDescent="0.2">
      <c r="V85" s="5">
        <v>42186</v>
      </c>
    </row>
    <row r="86" spans="22:22" hidden="1" x14ac:dyDescent="0.2">
      <c r="V86" s="5">
        <v>42217</v>
      </c>
    </row>
    <row r="87" spans="22:22" hidden="1" x14ac:dyDescent="0.2">
      <c r="V87" s="5">
        <v>42248</v>
      </c>
    </row>
    <row r="88" spans="22:22" hidden="1" x14ac:dyDescent="0.2">
      <c r="V88" s="5">
        <v>42278</v>
      </c>
    </row>
    <row r="89" spans="22:22" hidden="1" x14ac:dyDescent="0.2">
      <c r="V89" s="5">
        <v>42309</v>
      </c>
    </row>
    <row r="90" spans="22:22" hidden="1" x14ac:dyDescent="0.2">
      <c r="V90" s="5">
        <v>42339</v>
      </c>
    </row>
    <row r="91" spans="22:22" hidden="1" x14ac:dyDescent="0.2">
      <c r="V91" s="5">
        <v>42370</v>
      </c>
    </row>
    <row r="92" spans="22:22" hidden="1" x14ac:dyDescent="0.2">
      <c r="V92" s="5">
        <v>42401</v>
      </c>
    </row>
    <row r="93" spans="22:22" hidden="1" x14ac:dyDescent="0.2">
      <c r="V93" s="5">
        <v>42430</v>
      </c>
    </row>
    <row r="94" spans="22:22" hidden="1" x14ac:dyDescent="0.2">
      <c r="V94" s="5">
        <v>42461</v>
      </c>
    </row>
    <row r="95" spans="22:22" hidden="1" x14ac:dyDescent="0.2">
      <c r="V95" s="5">
        <v>42491</v>
      </c>
    </row>
    <row r="96" spans="22:22" hidden="1" x14ac:dyDescent="0.2">
      <c r="V96" s="5">
        <v>42522</v>
      </c>
    </row>
    <row r="97" spans="22:22" hidden="1" x14ac:dyDescent="0.2">
      <c r="V97" s="5">
        <v>42552</v>
      </c>
    </row>
    <row r="98" spans="22:22" hidden="1" x14ac:dyDescent="0.2">
      <c r="V98" s="5">
        <v>42583</v>
      </c>
    </row>
    <row r="99" spans="22:22" hidden="1" x14ac:dyDescent="0.2">
      <c r="V99" s="5">
        <v>42614</v>
      </c>
    </row>
    <row r="100" spans="22:22" hidden="1" x14ac:dyDescent="0.2">
      <c r="V100" s="5">
        <v>42644</v>
      </c>
    </row>
    <row r="101" spans="22:22" hidden="1" x14ac:dyDescent="0.2">
      <c r="V101" s="5">
        <v>42675</v>
      </c>
    </row>
    <row r="102" spans="22:22" hidden="1" x14ac:dyDescent="0.2">
      <c r="V102" s="5">
        <v>42705</v>
      </c>
    </row>
    <row r="103" spans="22:22" hidden="1" x14ac:dyDescent="0.2">
      <c r="V103" s="5">
        <v>42736</v>
      </c>
    </row>
    <row r="104" spans="22:22" hidden="1" x14ac:dyDescent="0.2">
      <c r="V104" s="5">
        <v>42767</v>
      </c>
    </row>
    <row r="105" spans="22:22" hidden="1" x14ac:dyDescent="0.2">
      <c r="V105" s="5">
        <v>42795</v>
      </c>
    </row>
    <row r="106" spans="22:22" hidden="1" x14ac:dyDescent="0.2">
      <c r="V106" s="5">
        <v>42826</v>
      </c>
    </row>
    <row r="107" spans="22:22" hidden="1" x14ac:dyDescent="0.2">
      <c r="V107" s="5">
        <v>42856</v>
      </c>
    </row>
    <row r="108" spans="22:22" hidden="1" x14ac:dyDescent="0.2">
      <c r="V108" s="5">
        <v>42887</v>
      </c>
    </row>
    <row r="109" spans="22:22" hidden="1" x14ac:dyDescent="0.2">
      <c r="V109" s="5">
        <v>42917</v>
      </c>
    </row>
    <row r="110" spans="22:22" hidden="1" x14ac:dyDescent="0.2">
      <c r="V110" s="5">
        <v>42948</v>
      </c>
    </row>
    <row r="111" spans="22:22" hidden="1" x14ac:dyDescent="0.2">
      <c r="V111" s="5">
        <v>42979</v>
      </c>
    </row>
    <row r="112" spans="22:22" hidden="1" x14ac:dyDescent="0.2">
      <c r="V112" s="5">
        <v>43009</v>
      </c>
    </row>
    <row r="113" spans="22:22" hidden="1" x14ac:dyDescent="0.2">
      <c r="V113" s="5">
        <v>43040</v>
      </c>
    </row>
    <row r="114" spans="22:22" hidden="1" x14ac:dyDescent="0.2">
      <c r="V114" s="5">
        <v>43070</v>
      </c>
    </row>
    <row r="115" spans="22:22" hidden="1" x14ac:dyDescent="0.2">
      <c r="V115" s="5">
        <v>43101</v>
      </c>
    </row>
    <row r="116" spans="22:22" hidden="1" x14ac:dyDescent="0.2">
      <c r="V116" s="5">
        <v>43132</v>
      </c>
    </row>
    <row r="117" spans="22:22" hidden="1" x14ac:dyDescent="0.2">
      <c r="V117" s="5">
        <v>43160</v>
      </c>
    </row>
    <row r="118" spans="22:22" hidden="1" x14ac:dyDescent="0.2">
      <c r="V118" s="5">
        <v>43191</v>
      </c>
    </row>
    <row r="119" spans="22:22" hidden="1" x14ac:dyDescent="0.2">
      <c r="V119" s="5">
        <v>43221</v>
      </c>
    </row>
    <row r="120" spans="22:22" hidden="1" x14ac:dyDescent="0.2">
      <c r="V120" s="5">
        <v>43252</v>
      </c>
    </row>
    <row r="121" spans="22:22" hidden="1" x14ac:dyDescent="0.2">
      <c r="V121" s="5">
        <v>43282</v>
      </c>
    </row>
    <row r="122" spans="22:22" hidden="1" x14ac:dyDescent="0.2">
      <c r="V122" s="5">
        <v>43313</v>
      </c>
    </row>
    <row r="123" spans="22:22" hidden="1" x14ac:dyDescent="0.2">
      <c r="V123" s="5">
        <v>43344</v>
      </c>
    </row>
    <row r="124" spans="22:22" hidden="1" x14ac:dyDescent="0.2">
      <c r="V124" s="5">
        <v>43374</v>
      </c>
    </row>
    <row r="125" spans="22:22" hidden="1" x14ac:dyDescent="0.2">
      <c r="V125" s="5">
        <v>43405</v>
      </c>
    </row>
    <row r="126" spans="22:22" hidden="1" x14ac:dyDescent="0.2">
      <c r="V126" s="5">
        <v>43435</v>
      </c>
    </row>
    <row r="127" spans="22:22" hidden="1" x14ac:dyDescent="0.2">
      <c r="V127" s="5">
        <v>43466</v>
      </c>
    </row>
    <row r="128" spans="22:22" hidden="1" x14ac:dyDescent="0.2">
      <c r="V128" s="5">
        <v>43497</v>
      </c>
    </row>
    <row r="129" spans="22:22" hidden="1" x14ac:dyDescent="0.2">
      <c r="V129" s="5">
        <v>43525</v>
      </c>
    </row>
    <row r="130" spans="22:22" hidden="1" x14ac:dyDescent="0.2">
      <c r="V130" s="5">
        <v>43556</v>
      </c>
    </row>
    <row r="131" spans="22:22" hidden="1" x14ac:dyDescent="0.2">
      <c r="V131" s="5">
        <v>43586</v>
      </c>
    </row>
    <row r="132" spans="22:22" hidden="1" x14ac:dyDescent="0.2">
      <c r="V132" s="5">
        <v>43617</v>
      </c>
    </row>
    <row r="133" spans="22:22" hidden="1" x14ac:dyDescent="0.2">
      <c r="V133" s="5">
        <v>43647</v>
      </c>
    </row>
    <row r="134" spans="22:22" hidden="1" x14ac:dyDescent="0.2">
      <c r="V134" s="5">
        <v>43678</v>
      </c>
    </row>
    <row r="135" spans="22:22" hidden="1" x14ac:dyDescent="0.2">
      <c r="V135" s="5">
        <v>43709</v>
      </c>
    </row>
    <row r="136" spans="22:22" hidden="1" x14ac:dyDescent="0.2">
      <c r="V136" s="5">
        <v>43739</v>
      </c>
    </row>
    <row r="137" spans="22:22" hidden="1" x14ac:dyDescent="0.2">
      <c r="V137" s="5">
        <v>43770</v>
      </c>
    </row>
    <row r="138" spans="22:22" hidden="1" x14ac:dyDescent="0.2">
      <c r="V138" s="5">
        <v>43800</v>
      </c>
    </row>
    <row r="139" spans="22:22" hidden="1" x14ac:dyDescent="0.2">
      <c r="V139" s="5">
        <v>43831</v>
      </c>
    </row>
    <row r="140" spans="22:22" hidden="1" x14ac:dyDescent="0.2">
      <c r="V140" s="5">
        <v>43862</v>
      </c>
    </row>
    <row r="141" spans="22:22" hidden="1" x14ac:dyDescent="0.2">
      <c r="V141" s="5">
        <v>43891</v>
      </c>
    </row>
    <row r="142" spans="22:22" hidden="1" x14ac:dyDescent="0.2">
      <c r="V142" s="5">
        <v>43922</v>
      </c>
    </row>
    <row r="143" spans="22:22" hidden="1" x14ac:dyDescent="0.2">
      <c r="V143" s="5">
        <v>43952</v>
      </c>
    </row>
    <row r="144" spans="22:22" hidden="1" x14ac:dyDescent="0.2">
      <c r="V144" s="5">
        <v>43983</v>
      </c>
    </row>
    <row r="145" spans="22:22" hidden="1" x14ac:dyDescent="0.2">
      <c r="V145" s="5">
        <v>44013</v>
      </c>
    </row>
    <row r="146" spans="22:22" hidden="1" x14ac:dyDescent="0.2">
      <c r="V146" s="5">
        <v>44044</v>
      </c>
    </row>
    <row r="147" spans="22:22" hidden="1" x14ac:dyDescent="0.2">
      <c r="V147" s="5">
        <v>44075</v>
      </c>
    </row>
    <row r="148" spans="22:22" hidden="1" x14ac:dyDescent="0.2">
      <c r="V148" s="5">
        <v>44105</v>
      </c>
    </row>
    <row r="149" spans="22:22" hidden="1" x14ac:dyDescent="0.2">
      <c r="V149" s="5">
        <v>44136</v>
      </c>
    </row>
    <row r="150" spans="22:22" hidden="1" x14ac:dyDescent="0.2">
      <c r="V150" s="5">
        <v>44166</v>
      </c>
    </row>
    <row r="151" spans="22:22" hidden="1" x14ac:dyDescent="0.2">
      <c r="V151" s="5">
        <v>44197</v>
      </c>
    </row>
    <row r="152" spans="22:22" hidden="1" x14ac:dyDescent="0.2">
      <c r="V152" s="5">
        <v>44228</v>
      </c>
    </row>
    <row r="153" spans="22:22" hidden="1" x14ac:dyDescent="0.2">
      <c r="V153" s="5">
        <v>44256</v>
      </c>
    </row>
    <row r="154" spans="22:22" hidden="1" x14ac:dyDescent="0.2">
      <c r="V154" s="5">
        <v>44287</v>
      </c>
    </row>
    <row r="155" spans="22:22" hidden="1" x14ac:dyDescent="0.2">
      <c r="V155" s="5">
        <v>44317</v>
      </c>
    </row>
    <row r="156" spans="22:22" hidden="1" x14ac:dyDescent="0.2">
      <c r="V156" s="5">
        <v>44348</v>
      </c>
    </row>
    <row r="157" spans="22:22" hidden="1" x14ac:dyDescent="0.2">
      <c r="V157" s="5">
        <v>44378</v>
      </c>
    </row>
    <row r="158" spans="22:22" hidden="1" x14ac:dyDescent="0.2">
      <c r="V158" s="5">
        <v>44409</v>
      </c>
    </row>
    <row r="159" spans="22:22" hidden="1" x14ac:dyDescent="0.2">
      <c r="V159" s="5">
        <v>44440</v>
      </c>
    </row>
    <row r="160" spans="22:22" hidden="1" x14ac:dyDescent="0.2">
      <c r="V160" s="5">
        <v>44470</v>
      </c>
    </row>
    <row r="161" spans="22:22" hidden="1" x14ac:dyDescent="0.2">
      <c r="V161" s="5">
        <v>44501</v>
      </c>
    </row>
    <row r="162" spans="22:22" hidden="1" x14ac:dyDescent="0.2">
      <c r="V162" s="5">
        <v>44531</v>
      </c>
    </row>
    <row r="163" spans="22:22" hidden="1" x14ac:dyDescent="0.2">
      <c r="V163" s="5">
        <v>44562</v>
      </c>
    </row>
    <row r="164" spans="22:22" hidden="1" x14ac:dyDescent="0.2">
      <c r="V164" s="5">
        <v>44593</v>
      </c>
    </row>
    <row r="165" spans="22:22" hidden="1" x14ac:dyDescent="0.2">
      <c r="V165" s="5">
        <v>44621</v>
      </c>
    </row>
    <row r="166" spans="22:22" hidden="1" x14ac:dyDescent="0.2">
      <c r="V166" s="5">
        <v>44652</v>
      </c>
    </row>
    <row r="167" spans="22:22" hidden="1" x14ac:dyDescent="0.2">
      <c r="V167" s="5">
        <v>44682</v>
      </c>
    </row>
    <row r="168" spans="22:22" hidden="1" x14ac:dyDescent="0.2">
      <c r="V168" s="5">
        <v>44713</v>
      </c>
    </row>
    <row r="169" spans="22:22" hidden="1" x14ac:dyDescent="0.2">
      <c r="V169" s="5">
        <v>44743</v>
      </c>
    </row>
    <row r="170" spans="22:22" hidden="1" x14ac:dyDescent="0.2">
      <c r="V170" s="5">
        <v>44774</v>
      </c>
    </row>
    <row r="171" spans="22:22" hidden="1" x14ac:dyDescent="0.2">
      <c r="V171" s="5">
        <v>44805</v>
      </c>
    </row>
    <row r="172" spans="22:22" hidden="1" x14ac:dyDescent="0.2">
      <c r="V172" s="5">
        <v>44835</v>
      </c>
    </row>
    <row r="173" spans="22:22" hidden="1" x14ac:dyDescent="0.2">
      <c r="V173" s="5">
        <v>44866</v>
      </c>
    </row>
    <row r="174" spans="22:22" hidden="1" x14ac:dyDescent="0.2">
      <c r="V174" s="5">
        <v>44896</v>
      </c>
    </row>
    <row r="175" spans="22:22" hidden="1" x14ac:dyDescent="0.2">
      <c r="V175" s="5">
        <v>44927</v>
      </c>
    </row>
    <row r="176" spans="22:22" hidden="1" x14ac:dyDescent="0.2">
      <c r="V176" s="5">
        <v>44958</v>
      </c>
    </row>
    <row r="177" spans="22:22" hidden="1" x14ac:dyDescent="0.2">
      <c r="V177" s="5">
        <v>44986</v>
      </c>
    </row>
    <row r="178" spans="22:22" hidden="1" x14ac:dyDescent="0.2">
      <c r="V178" s="5">
        <v>45017</v>
      </c>
    </row>
    <row r="179" spans="22:22" hidden="1" x14ac:dyDescent="0.2">
      <c r="V179" s="5">
        <v>45047</v>
      </c>
    </row>
    <row r="180" spans="22:22" hidden="1" x14ac:dyDescent="0.2">
      <c r="V180" s="5">
        <v>45078</v>
      </c>
    </row>
    <row r="181" spans="22:22" hidden="1" x14ac:dyDescent="0.2">
      <c r="V181" s="5">
        <v>45108</v>
      </c>
    </row>
    <row r="182" spans="22:22" hidden="1" x14ac:dyDescent="0.2">
      <c r="V182" s="5">
        <v>45139</v>
      </c>
    </row>
    <row r="183" spans="22:22" hidden="1" x14ac:dyDescent="0.2">
      <c r="V183" s="5">
        <v>45170</v>
      </c>
    </row>
    <row r="184" spans="22:22" hidden="1" x14ac:dyDescent="0.2">
      <c r="V184" s="5">
        <v>45200</v>
      </c>
    </row>
    <row r="185" spans="22:22" hidden="1" x14ac:dyDescent="0.2">
      <c r="V185" s="5">
        <v>45231</v>
      </c>
    </row>
    <row r="186" spans="22:22" hidden="1" x14ac:dyDescent="0.2">
      <c r="V186" s="5">
        <v>45261</v>
      </c>
    </row>
    <row r="187" spans="22:22" hidden="1" x14ac:dyDescent="0.2">
      <c r="V187" s="5">
        <v>45292</v>
      </c>
    </row>
    <row r="188" spans="22:22" hidden="1" x14ac:dyDescent="0.2">
      <c r="V188" s="5">
        <v>45323</v>
      </c>
    </row>
    <row r="189" spans="22:22" hidden="1" x14ac:dyDescent="0.2">
      <c r="V189" s="5">
        <v>45352</v>
      </c>
    </row>
    <row r="190" spans="22:22" hidden="1" x14ac:dyDescent="0.2">
      <c r="V190" s="5">
        <v>45383</v>
      </c>
    </row>
    <row r="191" spans="22:22" hidden="1" x14ac:dyDescent="0.2">
      <c r="V191" s="5">
        <v>45413</v>
      </c>
    </row>
    <row r="192" spans="22:22" hidden="1" x14ac:dyDescent="0.2">
      <c r="V192" s="5">
        <v>45444</v>
      </c>
    </row>
    <row r="193" spans="22:22" hidden="1" x14ac:dyDescent="0.2">
      <c r="V193" s="5">
        <v>45474</v>
      </c>
    </row>
    <row r="194" spans="22:22" hidden="1" x14ac:dyDescent="0.2">
      <c r="V194" s="5">
        <v>45505</v>
      </c>
    </row>
    <row r="195" spans="22:22" hidden="1" x14ac:dyDescent="0.2">
      <c r="V195" s="5">
        <v>45536</v>
      </c>
    </row>
    <row r="196" spans="22:22" hidden="1" x14ac:dyDescent="0.2">
      <c r="V196" s="5">
        <v>45566</v>
      </c>
    </row>
    <row r="197" spans="22:22" hidden="1" x14ac:dyDescent="0.2">
      <c r="V197" s="5">
        <v>45597</v>
      </c>
    </row>
    <row r="198" spans="22:22" hidden="1" x14ac:dyDescent="0.2">
      <c r="V198" s="5">
        <v>45627</v>
      </c>
    </row>
    <row r="199" spans="22:22" hidden="1" x14ac:dyDescent="0.2">
      <c r="V199" s="5">
        <v>45658</v>
      </c>
    </row>
    <row r="200" spans="22:22" hidden="1" x14ac:dyDescent="0.2">
      <c r="V200" s="5">
        <v>45689</v>
      </c>
    </row>
    <row r="201" spans="22:22" hidden="1" x14ac:dyDescent="0.2">
      <c r="V201" s="5">
        <v>45717</v>
      </c>
    </row>
    <row r="202" spans="22:22" hidden="1" x14ac:dyDescent="0.2">
      <c r="V202" s="5">
        <v>45748</v>
      </c>
    </row>
    <row r="203" spans="22:22" hidden="1" x14ac:dyDescent="0.2">
      <c r="V203" s="5">
        <v>45778</v>
      </c>
    </row>
    <row r="204" spans="22:22" hidden="1" x14ac:dyDescent="0.2">
      <c r="V204" s="5">
        <v>45809</v>
      </c>
    </row>
    <row r="205" spans="22:22" hidden="1" x14ac:dyDescent="0.2">
      <c r="V205" s="5">
        <v>45839</v>
      </c>
    </row>
    <row r="206" spans="22:22" hidden="1" x14ac:dyDescent="0.2">
      <c r="V206" s="5">
        <v>45870</v>
      </c>
    </row>
    <row r="207" spans="22:22" hidden="1" x14ac:dyDescent="0.2">
      <c r="V207" s="5">
        <v>45901</v>
      </c>
    </row>
    <row r="208" spans="22:22" hidden="1" x14ac:dyDescent="0.2">
      <c r="V208" s="5">
        <v>45931</v>
      </c>
    </row>
    <row r="209" spans="5:22" hidden="1" x14ac:dyDescent="0.2">
      <c r="V209" s="5">
        <v>45962</v>
      </c>
    </row>
    <row r="210" spans="5:22" hidden="1" x14ac:dyDescent="0.2">
      <c r="V210" s="5">
        <v>45992</v>
      </c>
    </row>
    <row r="214" spans="5:22" x14ac:dyDescent="0.2">
      <c r="E214" s="9" t="s">
        <v>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otón1_Haga_clic_en">
                <anchor moveWithCells="1" sizeWithCells="1">
                  <from>
                    <xdr:col>1</xdr:col>
                    <xdr:colOff>200025</xdr:colOff>
                    <xdr:row>3</xdr:row>
                    <xdr:rowOff>57150</xdr:rowOff>
                  </from>
                  <to>
                    <xdr:col>3</xdr:col>
                    <xdr:colOff>485775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Botón5_Haga_clic_en">
                <anchor moveWithCells="1" sizeWithCells="1">
                  <from>
                    <xdr:col>1</xdr:col>
                    <xdr:colOff>190500</xdr:colOff>
                    <xdr:row>12</xdr:row>
                    <xdr:rowOff>38100</xdr:rowOff>
                  </from>
                  <to>
                    <xdr:col>3</xdr:col>
                    <xdr:colOff>447675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Button 6">
              <controlPr defaultSize="0" print="0" autoFill="0" autoPict="0" macro="[0]!Botón6_Haga_clic_en">
                <anchor moveWithCells="1" sizeWithCells="1">
                  <from>
                    <xdr:col>14</xdr:col>
                    <xdr:colOff>295275</xdr:colOff>
                    <xdr:row>3</xdr:row>
                    <xdr:rowOff>85725</xdr:rowOff>
                  </from>
                  <to>
                    <xdr:col>16</xdr:col>
                    <xdr:colOff>561975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7" name="Button 8">
              <controlPr defaultSize="0" print="0" autoFill="0" autoPict="0" macro="[0]!Botón8_Haga_clic_en">
                <anchor moveWithCells="1" sizeWithCells="1">
                  <from>
                    <xdr:col>1</xdr:col>
                    <xdr:colOff>209550</xdr:colOff>
                    <xdr:row>6</xdr:row>
                    <xdr:rowOff>28575</xdr:rowOff>
                  </from>
                  <to>
                    <xdr:col>3</xdr:col>
                    <xdr:colOff>466725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8" name="Button 9">
              <controlPr defaultSize="0" print="0" autoFill="0" autoPict="0" macro="[0]!Botón9_Haga_clic_en">
                <anchor moveWithCells="1" sizeWithCells="1">
                  <from>
                    <xdr:col>1</xdr:col>
                    <xdr:colOff>238125</xdr:colOff>
                    <xdr:row>211</xdr:row>
                    <xdr:rowOff>28575</xdr:rowOff>
                  </from>
                  <to>
                    <xdr:col>3</xdr:col>
                    <xdr:colOff>333375</xdr:colOff>
                    <xdr:row>213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9" name="Button 11">
              <controlPr defaultSize="0" print="0" autoFill="0" autoPict="0" macro="[0]!Botón11_Haga_clic_en">
                <anchor moveWithCells="1" sizeWithCells="1">
                  <from>
                    <xdr:col>1</xdr:col>
                    <xdr:colOff>219075</xdr:colOff>
                    <xdr:row>214</xdr:row>
                    <xdr:rowOff>9525</xdr:rowOff>
                  </from>
                  <to>
                    <xdr:col>3</xdr:col>
                    <xdr:colOff>323850</xdr:colOff>
                    <xdr:row>216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FFC000"/>
  </sheetPr>
  <dimension ref="A1:S1054"/>
  <sheetViews>
    <sheetView zoomScale="80" zoomScaleNormal="80" workbookViewId="0">
      <selection activeCell="P3" sqref="P3"/>
    </sheetView>
  </sheetViews>
  <sheetFormatPr baseColWidth="10" defaultRowHeight="12.75" x14ac:dyDescent="0.2"/>
  <cols>
    <col min="1" max="1" width="22.42578125" style="1" customWidth="1"/>
    <col min="2" max="2" width="25.140625" style="1" bestFit="1" customWidth="1"/>
    <col min="3" max="3" width="18" style="1" bestFit="1" customWidth="1"/>
    <col min="4" max="4" width="12.5703125" style="1" bestFit="1" customWidth="1"/>
    <col min="5" max="5" width="18.5703125" style="1" bestFit="1" customWidth="1"/>
    <col min="6" max="6" width="23.5703125" style="1" bestFit="1" customWidth="1"/>
    <col min="7" max="7" width="3.140625" style="1" customWidth="1"/>
    <col min="8" max="8" width="22" style="1" bestFit="1" customWidth="1"/>
    <col min="9" max="9" width="14.5703125" style="1" customWidth="1"/>
    <col min="10" max="10" width="2.5703125" style="117" customWidth="1"/>
    <col min="11" max="11" width="2.85546875" style="117" customWidth="1"/>
    <col min="12" max="12" width="16.42578125" style="117" bestFit="1" customWidth="1"/>
    <col min="13" max="13" width="23.85546875" style="117" bestFit="1" customWidth="1"/>
    <col min="14" max="14" width="11.42578125" style="117" customWidth="1"/>
    <col min="15" max="15" width="9.28515625" style="117" customWidth="1"/>
    <col min="16" max="16" width="17.140625" style="117" bestFit="1" customWidth="1"/>
    <col min="17" max="17" width="19.140625" style="117" bestFit="1" customWidth="1"/>
    <col min="18" max="176" width="11.42578125" style="117" customWidth="1"/>
    <col min="177" max="16384" width="11.42578125" style="117"/>
  </cols>
  <sheetData>
    <row r="1" spans="1:18" s="60" customFormat="1" x14ac:dyDescent="0.2">
      <c r="A1" s="122" t="s">
        <v>15</v>
      </c>
      <c r="B1" s="59"/>
      <c r="C1" s="59"/>
      <c r="D1" s="59"/>
      <c r="E1" s="59"/>
      <c r="F1" s="59"/>
      <c r="G1" s="59"/>
      <c r="H1" s="59" t="s">
        <v>16</v>
      </c>
      <c r="I1" s="59"/>
    </row>
    <row r="2" spans="1:18" s="63" customFormat="1" x14ac:dyDescent="0.2">
      <c r="A2" s="61" t="s">
        <v>17</v>
      </c>
      <c r="B2" s="61" t="s">
        <v>18</v>
      </c>
      <c r="C2" s="61" t="s">
        <v>19</v>
      </c>
      <c r="D2" s="61" t="s">
        <v>20</v>
      </c>
      <c r="E2" s="61" t="s">
        <v>21</v>
      </c>
      <c r="F2" s="61" t="s">
        <v>22</v>
      </c>
      <c r="G2" s="62"/>
      <c r="H2" s="61" t="s">
        <v>18</v>
      </c>
      <c r="I2" s="61" t="s">
        <v>23</v>
      </c>
      <c r="K2" s="64"/>
      <c r="L2" s="66" t="s">
        <v>24</v>
      </c>
      <c r="P2" s="66" t="s">
        <v>25</v>
      </c>
    </row>
    <row r="3" spans="1:18" x14ac:dyDescent="0.2">
      <c r="A3" s="70" t="s">
        <v>26</v>
      </c>
      <c r="B3" s="70" t="s">
        <v>27</v>
      </c>
      <c r="C3" s="69"/>
      <c r="D3" s="69"/>
      <c r="E3" s="69"/>
      <c r="F3" s="70" t="s">
        <v>28</v>
      </c>
      <c r="G3" s="56"/>
      <c r="H3" s="57" t="s">
        <v>29</v>
      </c>
      <c r="I3" s="68" t="s">
        <v>30</v>
      </c>
      <c r="L3" s="61" t="s">
        <v>31</v>
      </c>
      <c r="M3" s="61" t="s">
        <v>32</v>
      </c>
      <c r="N3" s="65" t="s">
        <v>23</v>
      </c>
      <c r="P3" s="65" t="s">
        <v>31</v>
      </c>
      <c r="Q3" s="65" t="s">
        <v>32</v>
      </c>
      <c r="R3" s="66"/>
    </row>
    <row r="4" spans="1:18" x14ac:dyDescent="0.2">
      <c r="A4" s="70" t="s">
        <v>26</v>
      </c>
      <c r="B4" s="70" t="s">
        <v>33</v>
      </c>
      <c r="C4" s="69"/>
      <c r="D4" s="69"/>
      <c r="E4" s="69"/>
      <c r="F4" s="70" t="s">
        <v>28</v>
      </c>
      <c r="G4" s="56"/>
      <c r="H4" s="57" t="s">
        <v>29</v>
      </c>
      <c r="I4" s="68" t="s">
        <v>30</v>
      </c>
      <c r="L4" s="116" t="s">
        <v>5</v>
      </c>
      <c r="M4" s="116" t="s">
        <v>34</v>
      </c>
      <c r="N4" s="115" t="s">
        <v>30</v>
      </c>
      <c r="P4" s="112" t="s">
        <v>35</v>
      </c>
      <c r="Q4" s="113" t="s">
        <v>36</v>
      </c>
    </row>
    <row r="5" spans="1:18" x14ac:dyDescent="0.2">
      <c r="A5" s="70" t="s">
        <v>37</v>
      </c>
      <c r="B5" s="70" t="s">
        <v>38</v>
      </c>
      <c r="C5" s="69"/>
      <c r="D5" s="69"/>
      <c r="E5" s="69"/>
      <c r="F5" s="70" t="s">
        <v>39</v>
      </c>
      <c r="G5" s="56"/>
      <c r="H5" s="57"/>
      <c r="I5" s="68"/>
      <c r="L5" s="116" t="s">
        <v>12</v>
      </c>
      <c r="M5" s="116" t="s">
        <v>40</v>
      </c>
      <c r="N5" s="115"/>
      <c r="P5" s="112" t="s">
        <v>5</v>
      </c>
      <c r="Q5" s="113" t="s">
        <v>34</v>
      </c>
    </row>
    <row r="6" spans="1:18" x14ac:dyDescent="0.2">
      <c r="A6" s="70" t="s">
        <v>37</v>
      </c>
      <c r="B6" s="70" t="s">
        <v>41</v>
      </c>
      <c r="C6" s="69"/>
      <c r="D6" s="69"/>
      <c r="E6" s="69"/>
      <c r="F6" s="70" t="s">
        <v>39</v>
      </c>
      <c r="G6" s="56"/>
      <c r="H6" s="57"/>
      <c r="I6" s="68"/>
      <c r="L6" s="116" t="s">
        <v>12</v>
      </c>
      <c r="M6" s="116" t="s">
        <v>42</v>
      </c>
      <c r="N6" s="115" t="s">
        <v>30</v>
      </c>
      <c r="P6" s="112" t="s">
        <v>43</v>
      </c>
      <c r="Q6" s="113" t="s">
        <v>43</v>
      </c>
    </row>
    <row r="7" spans="1:18" x14ac:dyDescent="0.2">
      <c r="A7" s="70" t="s">
        <v>37</v>
      </c>
      <c r="B7" s="70" t="s">
        <v>44</v>
      </c>
      <c r="C7" s="69"/>
      <c r="D7" s="69"/>
      <c r="E7" s="69"/>
      <c r="F7" s="70" t="s">
        <v>39</v>
      </c>
      <c r="G7" s="56"/>
      <c r="H7" s="57"/>
      <c r="I7" s="68"/>
      <c r="L7" s="116" t="s">
        <v>12</v>
      </c>
      <c r="M7" s="116" t="s">
        <v>45</v>
      </c>
      <c r="N7" s="115"/>
      <c r="P7" s="112" t="s">
        <v>46</v>
      </c>
      <c r="Q7" s="113" t="s">
        <v>47</v>
      </c>
    </row>
    <row r="8" spans="1:18" x14ac:dyDescent="0.2">
      <c r="A8" s="70" t="s">
        <v>37</v>
      </c>
      <c r="B8" s="70" t="s">
        <v>48</v>
      </c>
      <c r="C8" s="69"/>
      <c r="D8" s="69"/>
      <c r="E8" s="69"/>
      <c r="F8" s="70" t="s">
        <v>39</v>
      </c>
      <c r="G8" s="56"/>
      <c r="H8" s="57"/>
      <c r="I8" s="68"/>
      <c r="L8" s="116" t="s">
        <v>12</v>
      </c>
      <c r="M8" s="116" t="s">
        <v>49</v>
      </c>
      <c r="N8" s="115"/>
      <c r="P8" s="106" t="s">
        <v>8</v>
      </c>
      <c r="Q8" s="107" t="s">
        <v>50</v>
      </c>
    </row>
    <row r="9" spans="1:18" x14ac:dyDescent="0.2">
      <c r="A9" s="70" t="s">
        <v>37</v>
      </c>
      <c r="B9" s="70" t="s">
        <v>51</v>
      </c>
      <c r="C9" s="69"/>
      <c r="D9" s="69"/>
      <c r="E9" s="69"/>
      <c r="F9" s="70" t="s">
        <v>39</v>
      </c>
      <c r="G9" s="56"/>
      <c r="H9" s="57"/>
      <c r="I9" s="68"/>
      <c r="L9" s="116" t="s">
        <v>12</v>
      </c>
      <c r="M9" s="116" t="s">
        <v>52</v>
      </c>
      <c r="N9" s="115" t="s">
        <v>30</v>
      </c>
      <c r="P9" s="110"/>
      <c r="Q9" s="111" t="s">
        <v>8</v>
      </c>
    </row>
    <row r="10" spans="1:18" x14ac:dyDescent="0.2">
      <c r="A10" s="70" t="s">
        <v>37</v>
      </c>
      <c r="B10" s="70" t="s">
        <v>53</v>
      </c>
      <c r="C10" s="69"/>
      <c r="D10" s="69"/>
      <c r="E10" s="69"/>
      <c r="F10" s="70" t="s">
        <v>39</v>
      </c>
      <c r="G10" s="56"/>
      <c r="H10" s="57"/>
      <c r="I10" s="68"/>
      <c r="L10" s="116" t="s">
        <v>12</v>
      </c>
      <c r="M10" s="116" t="s">
        <v>54</v>
      </c>
      <c r="N10" s="115"/>
      <c r="P10" s="106" t="s">
        <v>10</v>
      </c>
      <c r="Q10" s="107" t="s">
        <v>10</v>
      </c>
    </row>
    <row r="11" spans="1:18" x14ac:dyDescent="0.2">
      <c r="A11" s="70" t="s">
        <v>37</v>
      </c>
      <c r="B11" s="70" t="s">
        <v>55</v>
      </c>
      <c r="C11" s="69"/>
      <c r="D11" s="69"/>
      <c r="E11" s="69"/>
      <c r="F11" s="70" t="s">
        <v>39</v>
      </c>
      <c r="G11" s="56"/>
      <c r="H11" s="57"/>
      <c r="I11" s="68"/>
      <c r="L11" s="116" t="s">
        <v>12</v>
      </c>
      <c r="M11" s="116" t="s">
        <v>56</v>
      </c>
      <c r="N11" s="115" t="s">
        <v>30</v>
      </c>
      <c r="P11" s="108"/>
      <c r="Q11" s="109" t="s">
        <v>57</v>
      </c>
    </row>
    <row r="12" spans="1:18" x14ac:dyDescent="0.2">
      <c r="A12" s="70" t="s">
        <v>37</v>
      </c>
      <c r="B12" s="70" t="s">
        <v>58</v>
      </c>
      <c r="C12" s="69"/>
      <c r="D12" s="69"/>
      <c r="E12" s="69"/>
      <c r="F12" s="70" t="s">
        <v>39</v>
      </c>
      <c r="G12" s="56"/>
      <c r="H12" s="57"/>
      <c r="I12" s="68"/>
      <c r="L12" s="116" t="s">
        <v>12</v>
      </c>
      <c r="M12" s="116" t="s">
        <v>59</v>
      </c>
      <c r="N12" s="115"/>
      <c r="P12" s="108"/>
      <c r="Q12" s="109" t="s">
        <v>60</v>
      </c>
    </row>
    <row r="13" spans="1:18" x14ac:dyDescent="0.2">
      <c r="A13" s="70" t="s">
        <v>37</v>
      </c>
      <c r="B13" s="70" t="s">
        <v>61</v>
      </c>
      <c r="C13" s="69"/>
      <c r="D13" s="69"/>
      <c r="E13" s="69"/>
      <c r="F13" s="70" t="s">
        <v>39</v>
      </c>
      <c r="G13" s="56"/>
      <c r="H13" s="57"/>
      <c r="I13" s="68"/>
      <c r="L13" s="116" t="s">
        <v>12</v>
      </c>
      <c r="M13" s="116" t="s">
        <v>62</v>
      </c>
      <c r="N13" s="115"/>
      <c r="P13" s="108"/>
      <c r="Q13" s="109" t="s">
        <v>63</v>
      </c>
    </row>
    <row r="14" spans="1:18" x14ac:dyDescent="0.2">
      <c r="A14" s="70" t="s">
        <v>37</v>
      </c>
      <c r="B14" s="70" t="s">
        <v>64</v>
      </c>
      <c r="C14" s="69"/>
      <c r="D14" s="69"/>
      <c r="E14" s="69"/>
      <c r="F14" s="70" t="s">
        <v>39</v>
      </c>
      <c r="G14" s="56"/>
      <c r="H14" s="57"/>
      <c r="I14" s="68"/>
      <c r="L14" s="116" t="s">
        <v>12</v>
      </c>
      <c r="M14" s="116" t="s">
        <v>65</v>
      </c>
      <c r="N14" s="115" t="s">
        <v>30</v>
      </c>
      <c r="P14" s="110"/>
      <c r="Q14" s="111" t="s">
        <v>66</v>
      </c>
    </row>
    <row r="15" spans="1:18" x14ac:dyDescent="0.2">
      <c r="A15" s="70" t="s">
        <v>37</v>
      </c>
      <c r="B15" s="70" t="s">
        <v>67</v>
      </c>
      <c r="C15" s="69"/>
      <c r="D15" s="69"/>
      <c r="E15" s="69"/>
      <c r="F15" s="70" t="s">
        <v>39</v>
      </c>
      <c r="G15" s="56"/>
      <c r="H15" s="57"/>
      <c r="I15" s="68"/>
      <c r="L15" s="116" t="s">
        <v>8</v>
      </c>
      <c r="M15" s="116" t="s">
        <v>8</v>
      </c>
      <c r="N15" s="115" t="s">
        <v>30</v>
      </c>
      <c r="P15" s="112" t="s">
        <v>68</v>
      </c>
      <c r="Q15" s="113" t="s">
        <v>69</v>
      </c>
    </row>
    <row r="16" spans="1:18" x14ac:dyDescent="0.2">
      <c r="A16" s="70" t="s">
        <v>37</v>
      </c>
      <c r="B16" s="70" t="s">
        <v>70</v>
      </c>
      <c r="C16" s="69"/>
      <c r="D16" s="69"/>
      <c r="E16" s="69"/>
      <c r="F16" s="70" t="s">
        <v>39</v>
      </c>
      <c r="G16" s="56"/>
      <c r="H16" s="57"/>
      <c r="I16" s="68"/>
      <c r="L16" s="116" t="s">
        <v>8</v>
      </c>
      <c r="M16" s="116" t="s">
        <v>50</v>
      </c>
      <c r="N16" s="115" t="s">
        <v>30</v>
      </c>
      <c r="P16" s="112" t="s">
        <v>71</v>
      </c>
      <c r="Q16" s="113" t="s">
        <v>72</v>
      </c>
    </row>
    <row r="17" spans="1:17" x14ac:dyDescent="0.2">
      <c r="A17" s="70" t="s">
        <v>73</v>
      </c>
      <c r="B17" s="70" t="s">
        <v>73</v>
      </c>
      <c r="C17" s="69"/>
      <c r="D17" s="69"/>
      <c r="E17" s="69"/>
      <c r="F17" s="70" t="s">
        <v>39</v>
      </c>
      <c r="G17" s="56"/>
      <c r="H17" s="57" t="s">
        <v>74</v>
      </c>
      <c r="I17" s="68" t="s">
        <v>30</v>
      </c>
      <c r="L17" s="116" t="s">
        <v>8</v>
      </c>
      <c r="M17" s="116" t="s">
        <v>75</v>
      </c>
      <c r="N17" s="115"/>
      <c r="P17" s="106" t="s">
        <v>12</v>
      </c>
      <c r="Q17" s="107" t="s">
        <v>52</v>
      </c>
    </row>
    <row r="18" spans="1:17" x14ac:dyDescent="0.2">
      <c r="A18" s="70" t="s">
        <v>76</v>
      </c>
      <c r="B18" s="70" t="s">
        <v>77</v>
      </c>
      <c r="C18" s="69"/>
      <c r="D18" s="69"/>
      <c r="E18" s="70" t="s">
        <v>78</v>
      </c>
      <c r="F18" s="70" t="s">
        <v>39</v>
      </c>
      <c r="G18" s="56"/>
      <c r="H18" s="58" t="s">
        <v>79</v>
      </c>
      <c r="I18" s="68" t="s">
        <v>30</v>
      </c>
      <c r="L18" s="116" t="s">
        <v>80</v>
      </c>
      <c r="M18" s="116" t="s">
        <v>81</v>
      </c>
      <c r="N18" s="115" t="s">
        <v>30</v>
      </c>
      <c r="P18" s="108"/>
      <c r="Q18" s="109" t="s">
        <v>42</v>
      </c>
    </row>
    <row r="19" spans="1:17" x14ac:dyDescent="0.2">
      <c r="A19" s="70" t="s">
        <v>76</v>
      </c>
      <c r="B19" s="70" t="s">
        <v>82</v>
      </c>
      <c r="C19" s="69"/>
      <c r="D19" s="69"/>
      <c r="E19" s="70" t="s">
        <v>78</v>
      </c>
      <c r="F19" s="70" t="s">
        <v>39</v>
      </c>
      <c r="G19" s="56"/>
      <c r="H19" s="58" t="s">
        <v>79</v>
      </c>
      <c r="I19" s="68" t="s">
        <v>30</v>
      </c>
      <c r="L19" s="116" t="s">
        <v>80</v>
      </c>
      <c r="M19" s="116" t="s">
        <v>83</v>
      </c>
      <c r="N19" s="115" t="s">
        <v>30</v>
      </c>
      <c r="P19" s="108"/>
      <c r="Q19" s="109" t="s">
        <v>56</v>
      </c>
    </row>
    <row r="20" spans="1:17" x14ac:dyDescent="0.2">
      <c r="A20" s="70" t="s">
        <v>76</v>
      </c>
      <c r="B20" s="70" t="s">
        <v>84</v>
      </c>
      <c r="C20" s="69"/>
      <c r="D20" s="69"/>
      <c r="E20" s="70" t="s">
        <v>78</v>
      </c>
      <c r="F20" s="70" t="s">
        <v>39</v>
      </c>
      <c r="G20" s="56"/>
      <c r="H20" s="58" t="s">
        <v>79</v>
      </c>
      <c r="I20" s="68" t="s">
        <v>30</v>
      </c>
      <c r="L20" s="116" t="s">
        <v>80</v>
      </c>
      <c r="M20" s="116" t="s">
        <v>85</v>
      </c>
      <c r="N20" s="115" t="s">
        <v>30</v>
      </c>
      <c r="P20" s="108"/>
      <c r="Q20" s="109" t="s">
        <v>62</v>
      </c>
    </row>
    <row r="21" spans="1:17" x14ac:dyDescent="0.2">
      <c r="A21" s="70" t="s">
        <v>76</v>
      </c>
      <c r="B21" s="70" t="s">
        <v>86</v>
      </c>
      <c r="C21" s="69"/>
      <c r="D21" s="69"/>
      <c r="E21" s="70" t="s">
        <v>78</v>
      </c>
      <c r="F21" s="70" t="s">
        <v>39</v>
      </c>
      <c r="G21" s="56"/>
      <c r="H21" s="58" t="s">
        <v>79</v>
      </c>
      <c r="I21" s="68" t="s">
        <v>30</v>
      </c>
      <c r="L21" s="116" t="s">
        <v>80</v>
      </c>
      <c r="M21" s="116" t="s">
        <v>87</v>
      </c>
      <c r="N21" s="115" t="s">
        <v>30</v>
      </c>
      <c r="P21" s="108"/>
      <c r="Q21" s="109" t="s">
        <v>88</v>
      </c>
    </row>
    <row r="22" spans="1:17" x14ac:dyDescent="0.2">
      <c r="A22" s="70" t="s">
        <v>76</v>
      </c>
      <c r="B22" s="70" t="s">
        <v>89</v>
      </c>
      <c r="C22" s="69"/>
      <c r="D22" s="69"/>
      <c r="E22" s="70" t="s">
        <v>90</v>
      </c>
      <c r="F22" s="70" t="s">
        <v>39</v>
      </c>
      <c r="G22" s="56"/>
      <c r="H22" s="58" t="s">
        <v>91</v>
      </c>
      <c r="I22" s="68" t="s">
        <v>30</v>
      </c>
      <c r="L22" s="116" t="s">
        <v>80</v>
      </c>
      <c r="M22" s="116" t="s">
        <v>92</v>
      </c>
      <c r="N22" s="115" t="s">
        <v>30</v>
      </c>
      <c r="P22" s="110"/>
      <c r="Q22" s="111" t="s">
        <v>93</v>
      </c>
    </row>
    <row r="23" spans="1:17" x14ac:dyDescent="0.2">
      <c r="A23" s="70" t="s">
        <v>76</v>
      </c>
      <c r="B23" s="70" t="s">
        <v>94</v>
      </c>
      <c r="C23" s="69"/>
      <c r="D23" s="69"/>
      <c r="E23" s="70" t="s">
        <v>90</v>
      </c>
      <c r="F23" s="70" t="s">
        <v>39</v>
      </c>
      <c r="G23" s="56"/>
      <c r="H23" s="58" t="s">
        <v>91</v>
      </c>
      <c r="I23" s="68" t="s">
        <v>30</v>
      </c>
      <c r="L23" s="116" t="s">
        <v>80</v>
      </c>
      <c r="M23" s="116" t="s">
        <v>95</v>
      </c>
      <c r="N23" s="115" t="s">
        <v>30</v>
      </c>
      <c r="P23" s="106" t="s">
        <v>80</v>
      </c>
      <c r="Q23" s="107" t="s">
        <v>96</v>
      </c>
    </row>
    <row r="24" spans="1:17" x14ac:dyDescent="0.2">
      <c r="A24" s="70" t="s">
        <v>76</v>
      </c>
      <c r="B24" s="70" t="s">
        <v>97</v>
      </c>
      <c r="C24" s="69"/>
      <c r="D24" s="69"/>
      <c r="E24" s="70" t="s">
        <v>90</v>
      </c>
      <c r="F24" s="70" t="s">
        <v>39</v>
      </c>
      <c r="G24" s="56"/>
      <c r="H24" s="58" t="s">
        <v>91</v>
      </c>
      <c r="I24" s="68" t="s">
        <v>30</v>
      </c>
      <c r="L24" s="116" t="s">
        <v>98</v>
      </c>
      <c r="M24" s="116" t="s">
        <v>99</v>
      </c>
      <c r="N24" s="115"/>
      <c r="P24" s="110"/>
      <c r="Q24" s="111" t="s">
        <v>100</v>
      </c>
    </row>
    <row r="25" spans="1:17" x14ac:dyDescent="0.2">
      <c r="A25" s="70" t="s">
        <v>76</v>
      </c>
      <c r="B25" s="70" t="s">
        <v>101</v>
      </c>
      <c r="C25" s="69"/>
      <c r="D25" s="69"/>
      <c r="E25" s="70" t="s">
        <v>78</v>
      </c>
      <c r="F25" s="70" t="s">
        <v>39</v>
      </c>
      <c r="G25" s="56"/>
      <c r="H25" s="58" t="s">
        <v>79</v>
      </c>
      <c r="I25" s="68" t="s">
        <v>30</v>
      </c>
      <c r="L25" s="116" t="s">
        <v>98</v>
      </c>
      <c r="M25" s="116" t="s">
        <v>102</v>
      </c>
      <c r="N25" s="115"/>
      <c r="P25" s="112" t="s">
        <v>98</v>
      </c>
      <c r="Q25" s="113" t="s">
        <v>103</v>
      </c>
    </row>
    <row r="26" spans="1:17" x14ac:dyDescent="0.2">
      <c r="A26" s="70" t="s">
        <v>76</v>
      </c>
      <c r="B26" s="70" t="s">
        <v>104</v>
      </c>
      <c r="C26" s="69"/>
      <c r="D26" s="69"/>
      <c r="E26" s="70" t="s">
        <v>90</v>
      </c>
      <c r="F26" s="70" t="s">
        <v>39</v>
      </c>
      <c r="G26" s="56"/>
      <c r="H26" s="58" t="s">
        <v>91</v>
      </c>
      <c r="I26" s="68" t="s">
        <v>30</v>
      </c>
      <c r="L26" s="116" t="s">
        <v>98</v>
      </c>
      <c r="M26" s="116" t="s">
        <v>105</v>
      </c>
      <c r="N26" s="115"/>
      <c r="P26" s="112" t="s">
        <v>106</v>
      </c>
      <c r="Q26" s="113" t="s">
        <v>107</v>
      </c>
    </row>
    <row r="27" spans="1:17" x14ac:dyDescent="0.2">
      <c r="A27" s="70" t="s">
        <v>76</v>
      </c>
      <c r="B27" s="70" t="s">
        <v>108</v>
      </c>
      <c r="C27" s="69"/>
      <c r="D27" s="69"/>
      <c r="E27" s="70" t="s">
        <v>90</v>
      </c>
      <c r="F27" s="70" t="s">
        <v>39</v>
      </c>
      <c r="G27" s="56"/>
      <c r="H27" s="58" t="s">
        <v>91</v>
      </c>
      <c r="I27" s="68" t="s">
        <v>30</v>
      </c>
      <c r="L27" s="116" t="s">
        <v>98</v>
      </c>
      <c r="M27" s="116" t="s">
        <v>103</v>
      </c>
      <c r="N27" s="115" t="s">
        <v>30</v>
      </c>
      <c r="P27" s="112" t="s">
        <v>109</v>
      </c>
      <c r="Q27" s="113" t="s">
        <v>110</v>
      </c>
    </row>
    <row r="28" spans="1:17" x14ac:dyDescent="0.2">
      <c r="A28" s="70" t="s">
        <v>76</v>
      </c>
      <c r="B28" s="70" t="s">
        <v>111</v>
      </c>
      <c r="C28" s="69"/>
      <c r="D28" s="69"/>
      <c r="E28" s="70" t="s">
        <v>90</v>
      </c>
      <c r="F28" s="70" t="s">
        <v>39</v>
      </c>
      <c r="G28" s="56"/>
      <c r="H28" s="58"/>
      <c r="I28" s="68"/>
      <c r="L28" s="116" t="s">
        <v>98</v>
      </c>
      <c r="M28" s="116" t="s">
        <v>112</v>
      </c>
      <c r="N28" s="115"/>
      <c r="P28" s="106" t="s">
        <v>113</v>
      </c>
      <c r="Q28" s="107" t="s">
        <v>114</v>
      </c>
    </row>
    <row r="29" spans="1:17" x14ac:dyDescent="0.2">
      <c r="A29" s="70" t="s">
        <v>76</v>
      </c>
      <c r="B29" s="70" t="s">
        <v>115</v>
      </c>
      <c r="C29" s="69"/>
      <c r="D29" s="69"/>
      <c r="E29" s="70" t="s">
        <v>78</v>
      </c>
      <c r="F29" s="70" t="s">
        <v>39</v>
      </c>
      <c r="G29" s="56"/>
      <c r="H29" s="58" t="s">
        <v>79</v>
      </c>
      <c r="I29" s="68" t="s">
        <v>30</v>
      </c>
      <c r="L29" s="116" t="s">
        <v>71</v>
      </c>
      <c r="M29" s="116" t="s">
        <v>116</v>
      </c>
      <c r="N29" s="115"/>
      <c r="P29" s="106" t="s">
        <v>11</v>
      </c>
      <c r="Q29" s="107" t="s">
        <v>117</v>
      </c>
    </row>
    <row r="30" spans="1:17" x14ac:dyDescent="0.2">
      <c r="A30" s="70" t="s">
        <v>76</v>
      </c>
      <c r="B30" s="70" t="s">
        <v>118</v>
      </c>
      <c r="C30" s="69"/>
      <c r="D30" s="69"/>
      <c r="E30" s="70" t="s">
        <v>78</v>
      </c>
      <c r="F30" s="70" t="s">
        <v>39</v>
      </c>
      <c r="G30" s="56"/>
      <c r="H30" s="58" t="s">
        <v>79</v>
      </c>
      <c r="I30" s="68" t="s">
        <v>30</v>
      </c>
      <c r="L30" s="116" t="s">
        <v>71</v>
      </c>
      <c r="M30" s="116" t="s">
        <v>119</v>
      </c>
      <c r="N30" s="115"/>
      <c r="P30" s="108"/>
      <c r="Q30" s="109" t="s">
        <v>120</v>
      </c>
    </row>
    <row r="31" spans="1:17" x14ac:dyDescent="0.2">
      <c r="A31" s="70" t="s">
        <v>76</v>
      </c>
      <c r="B31" s="70" t="s">
        <v>121</v>
      </c>
      <c r="C31" s="69"/>
      <c r="D31" s="69"/>
      <c r="E31" s="70" t="s">
        <v>78</v>
      </c>
      <c r="F31" s="70" t="s">
        <v>39</v>
      </c>
      <c r="G31" s="56"/>
      <c r="H31" s="58" t="s">
        <v>79</v>
      </c>
      <c r="I31" s="68" t="s">
        <v>30</v>
      </c>
      <c r="L31" s="116" t="s">
        <v>71</v>
      </c>
      <c r="M31" s="116" t="s">
        <v>72</v>
      </c>
      <c r="N31" s="115" t="s">
        <v>30</v>
      </c>
      <c r="P31" s="108"/>
      <c r="Q31" s="109" t="s">
        <v>122</v>
      </c>
    </row>
    <row r="32" spans="1:17" x14ac:dyDescent="0.2">
      <c r="A32" s="70" t="s">
        <v>76</v>
      </c>
      <c r="B32" s="70" t="s">
        <v>123</v>
      </c>
      <c r="C32" s="69"/>
      <c r="D32" s="69"/>
      <c r="E32" s="70" t="s">
        <v>78</v>
      </c>
      <c r="F32" s="70" t="s">
        <v>39</v>
      </c>
      <c r="G32" s="56"/>
      <c r="H32" s="58" t="s">
        <v>79</v>
      </c>
      <c r="I32" s="68" t="s">
        <v>30</v>
      </c>
      <c r="L32" s="117" t="s">
        <v>11</v>
      </c>
      <c r="M32" s="117" t="s">
        <v>124</v>
      </c>
      <c r="N32" s="115" t="s">
        <v>30</v>
      </c>
      <c r="P32" s="110"/>
      <c r="Q32" s="111" t="s">
        <v>125</v>
      </c>
    </row>
    <row r="33" spans="1:19" x14ac:dyDescent="0.2">
      <c r="A33" s="70" t="s">
        <v>76</v>
      </c>
      <c r="B33" s="70" t="s">
        <v>126</v>
      </c>
      <c r="C33" s="69"/>
      <c r="D33" s="69"/>
      <c r="E33" s="70" t="s">
        <v>78</v>
      </c>
      <c r="F33" s="70" t="s">
        <v>39</v>
      </c>
      <c r="G33" s="56"/>
      <c r="H33" s="58" t="s">
        <v>79</v>
      </c>
      <c r="I33" s="68" t="s">
        <v>30</v>
      </c>
      <c r="L33" s="117" t="s">
        <v>11</v>
      </c>
      <c r="M33" s="117" t="s">
        <v>127</v>
      </c>
      <c r="N33" s="115" t="s">
        <v>30</v>
      </c>
    </row>
    <row r="34" spans="1:19" x14ac:dyDescent="0.2">
      <c r="A34" s="70" t="s">
        <v>76</v>
      </c>
      <c r="B34" s="70" t="s">
        <v>128</v>
      </c>
      <c r="C34" s="69"/>
      <c r="D34" s="69"/>
      <c r="E34" s="70" t="s">
        <v>78</v>
      </c>
      <c r="F34" s="70" t="s">
        <v>39</v>
      </c>
      <c r="G34" s="56"/>
      <c r="H34" s="58" t="s">
        <v>79</v>
      </c>
      <c r="I34" s="68" t="s">
        <v>30</v>
      </c>
      <c r="L34" s="117" t="s">
        <v>11</v>
      </c>
      <c r="M34" s="117" t="s">
        <v>129</v>
      </c>
      <c r="N34" s="115" t="s">
        <v>30</v>
      </c>
    </row>
    <row r="35" spans="1:19" x14ac:dyDescent="0.2">
      <c r="A35" s="70" t="s">
        <v>76</v>
      </c>
      <c r="B35" s="70" t="s">
        <v>130</v>
      </c>
      <c r="C35" s="69"/>
      <c r="D35" s="69"/>
      <c r="E35" s="70" t="s">
        <v>78</v>
      </c>
      <c r="F35" s="70" t="s">
        <v>39</v>
      </c>
      <c r="G35" s="56"/>
      <c r="H35" s="58" t="s">
        <v>79</v>
      </c>
      <c r="I35" s="68" t="s">
        <v>30</v>
      </c>
      <c r="L35" s="117" t="s">
        <v>11</v>
      </c>
      <c r="M35" s="117" t="s">
        <v>131</v>
      </c>
      <c r="N35" s="115" t="s">
        <v>30</v>
      </c>
    </row>
    <row r="36" spans="1:19" x14ac:dyDescent="0.2">
      <c r="A36" s="70" t="s">
        <v>76</v>
      </c>
      <c r="B36" s="70" t="s">
        <v>132</v>
      </c>
      <c r="C36" s="69"/>
      <c r="D36" s="69"/>
      <c r="E36" s="70" t="s">
        <v>78</v>
      </c>
      <c r="F36" s="70" t="s">
        <v>39</v>
      </c>
      <c r="G36" s="56"/>
      <c r="H36" s="58" t="s">
        <v>79</v>
      </c>
      <c r="I36" s="68" t="s">
        <v>30</v>
      </c>
      <c r="L36" s="117" t="s">
        <v>11</v>
      </c>
      <c r="M36" s="117" t="s">
        <v>133</v>
      </c>
      <c r="N36" s="115" t="s">
        <v>30</v>
      </c>
    </row>
    <row r="37" spans="1:19" x14ac:dyDescent="0.2">
      <c r="A37" s="70" t="s">
        <v>76</v>
      </c>
      <c r="B37" s="70" t="s">
        <v>134</v>
      </c>
      <c r="C37" s="69"/>
      <c r="D37" s="69"/>
      <c r="E37" s="70" t="s">
        <v>78</v>
      </c>
      <c r="F37" s="70" t="s">
        <v>39</v>
      </c>
      <c r="G37" s="56"/>
      <c r="H37" s="58" t="s">
        <v>79</v>
      </c>
      <c r="I37" s="68" t="s">
        <v>30</v>
      </c>
      <c r="L37" s="117" t="s">
        <v>11</v>
      </c>
      <c r="M37" s="117" t="s">
        <v>135</v>
      </c>
      <c r="N37" s="115" t="s">
        <v>30</v>
      </c>
    </row>
    <row r="38" spans="1:19" x14ac:dyDescent="0.2">
      <c r="A38" s="70" t="s">
        <v>76</v>
      </c>
      <c r="B38" s="70" t="s">
        <v>136</v>
      </c>
      <c r="C38" s="69"/>
      <c r="D38" s="69"/>
      <c r="E38" s="69"/>
      <c r="F38" s="70" t="s">
        <v>39</v>
      </c>
      <c r="G38" s="56"/>
      <c r="H38" s="57" t="s">
        <v>137</v>
      </c>
      <c r="I38" s="68" t="s">
        <v>30</v>
      </c>
      <c r="L38" s="117" t="s">
        <v>11</v>
      </c>
      <c r="M38" s="117" t="s">
        <v>138</v>
      </c>
      <c r="N38" s="115" t="s">
        <v>30</v>
      </c>
    </row>
    <row r="39" spans="1:19" x14ac:dyDescent="0.2">
      <c r="A39" s="70" t="s">
        <v>76</v>
      </c>
      <c r="B39" s="70" t="s">
        <v>139</v>
      </c>
      <c r="C39" s="69"/>
      <c r="D39" s="69"/>
      <c r="E39" s="70" t="s">
        <v>90</v>
      </c>
      <c r="F39" s="70" t="s">
        <v>39</v>
      </c>
      <c r="G39" s="56"/>
      <c r="H39" s="58" t="s">
        <v>137</v>
      </c>
      <c r="I39" s="68" t="s">
        <v>30</v>
      </c>
      <c r="L39" s="116" t="s">
        <v>10</v>
      </c>
      <c r="M39" s="116" t="s">
        <v>140</v>
      </c>
      <c r="N39" s="115"/>
    </row>
    <row r="40" spans="1:19" x14ac:dyDescent="0.2">
      <c r="A40" s="70" t="s">
        <v>76</v>
      </c>
      <c r="B40" s="70" t="s">
        <v>141</v>
      </c>
      <c r="C40" s="69"/>
      <c r="D40" s="69"/>
      <c r="E40" s="69"/>
      <c r="F40" s="70" t="s">
        <v>39</v>
      </c>
      <c r="G40" s="56"/>
      <c r="H40" s="57" t="s">
        <v>137</v>
      </c>
      <c r="I40" s="68" t="s">
        <v>30</v>
      </c>
      <c r="L40" s="116" t="s">
        <v>10</v>
      </c>
      <c r="M40" s="116" t="s">
        <v>142</v>
      </c>
      <c r="N40" s="115"/>
    </row>
    <row r="41" spans="1:19" x14ac:dyDescent="0.2">
      <c r="A41" s="70" t="s">
        <v>76</v>
      </c>
      <c r="B41" s="70" t="s">
        <v>143</v>
      </c>
      <c r="C41" s="69"/>
      <c r="D41" s="69"/>
      <c r="E41" s="70" t="s">
        <v>90</v>
      </c>
      <c r="F41" s="70" t="s">
        <v>39</v>
      </c>
      <c r="G41" s="56"/>
      <c r="H41" s="58" t="s">
        <v>137</v>
      </c>
      <c r="I41" s="68" t="s">
        <v>30</v>
      </c>
      <c r="L41" s="116" t="s">
        <v>10</v>
      </c>
      <c r="M41" s="116" t="s">
        <v>60</v>
      </c>
      <c r="N41" s="115" t="s">
        <v>30</v>
      </c>
    </row>
    <row r="42" spans="1:19" x14ac:dyDescent="0.2">
      <c r="A42" s="70" t="s">
        <v>76</v>
      </c>
      <c r="B42" s="70" t="s">
        <v>144</v>
      </c>
      <c r="C42" s="69"/>
      <c r="D42" s="69"/>
      <c r="E42" s="70" t="s">
        <v>78</v>
      </c>
      <c r="F42" s="70" t="s">
        <v>39</v>
      </c>
      <c r="G42" s="56"/>
      <c r="H42" s="58" t="s">
        <v>79</v>
      </c>
      <c r="I42" s="68" t="s">
        <v>30</v>
      </c>
      <c r="L42" s="116" t="s">
        <v>10</v>
      </c>
      <c r="M42" s="116" t="s">
        <v>10</v>
      </c>
      <c r="N42" s="115" t="s">
        <v>30</v>
      </c>
      <c r="Q42" s="114"/>
      <c r="R42" s="114"/>
      <c r="S42" s="115"/>
    </row>
    <row r="43" spans="1:19" x14ac:dyDescent="0.2">
      <c r="A43" s="70" t="s">
        <v>76</v>
      </c>
      <c r="B43" s="70" t="s">
        <v>145</v>
      </c>
      <c r="C43" s="69"/>
      <c r="D43" s="69"/>
      <c r="E43" s="70" t="s">
        <v>90</v>
      </c>
      <c r="F43" s="70" t="s">
        <v>39</v>
      </c>
      <c r="G43" s="56"/>
      <c r="H43" s="58" t="s">
        <v>146</v>
      </c>
      <c r="I43" s="68" t="s">
        <v>30</v>
      </c>
      <c r="L43" s="116" t="s">
        <v>10</v>
      </c>
      <c r="M43" s="116" t="s">
        <v>66</v>
      </c>
      <c r="N43" s="115" t="s">
        <v>30</v>
      </c>
    </row>
    <row r="44" spans="1:19" x14ac:dyDescent="0.2">
      <c r="A44" s="70" t="s">
        <v>76</v>
      </c>
      <c r="B44" s="70" t="s">
        <v>147</v>
      </c>
      <c r="C44" s="69"/>
      <c r="D44" s="69"/>
      <c r="E44" s="70" t="s">
        <v>78</v>
      </c>
      <c r="F44" s="70" t="s">
        <v>39</v>
      </c>
      <c r="G44" s="56"/>
      <c r="H44" s="58" t="s">
        <v>79</v>
      </c>
      <c r="I44" s="68" t="s">
        <v>30</v>
      </c>
      <c r="L44" s="116" t="s">
        <v>10</v>
      </c>
      <c r="M44" s="116" t="s">
        <v>57</v>
      </c>
      <c r="N44" s="115" t="s">
        <v>30</v>
      </c>
    </row>
    <row r="45" spans="1:19" x14ac:dyDescent="0.2">
      <c r="A45" s="70" t="s">
        <v>76</v>
      </c>
      <c r="B45" s="70" t="s">
        <v>148</v>
      </c>
      <c r="C45" s="69"/>
      <c r="D45" s="69"/>
      <c r="E45" s="70" t="s">
        <v>90</v>
      </c>
      <c r="F45" s="70" t="s">
        <v>39</v>
      </c>
      <c r="G45" s="56"/>
      <c r="H45" s="58" t="s">
        <v>146</v>
      </c>
      <c r="I45" s="68" t="s">
        <v>30</v>
      </c>
      <c r="L45" s="116"/>
      <c r="M45" s="116"/>
      <c r="N45" s="115"/>
    </row>
    <row r="46" spans="1:19" x14ac:dyDescent="0.2">
      <c r="A46" s="70" t="s">
        <v>76</v>
      </c>
      <c r="B46" s="70" t="s">
        <v>149</v>
      </c>
      <c r="C46" s="69"/>
      <c r="D46" s="69"/>
      <c r="E46" s="70" t="s">
        <v>90</v>
      </c>
      <c r="F46" s="70" t="s">
        <v>39</v>
      </c>
      <c r="G46" s="56"/>
      <c r="H46" s="58" t="s">
        <v>146</v>
      </c>
      <c r="I46" s="68" t="s">
        <v>30</v>
      </c>
      <c r="L46" s="116"/>
      <c r="M46" s="116"/>
      <c r="N46" s="115"/>
    </row>
    <row r="47" spans="1:19" x14ac:dyDescent="0.2">
      <c r="A47" s="70" t="s">
        <v>76</v>
      </c>
      <c r="B47" s="70" t="s">
        <v>150</v>
      </c>
      <c r="C47" s="69"/>
      <c r="D47" s="69"/>
      <c r="E47" s="70" t="s">
        <v>90</v>
      </c>
      <c r="F47" s="70" t="s">
        <v>39</v>
      </c>
      <c r="G47" s="56"/>
      <c r="H47" s="58" t="s">
        <v>146</v>
      </c>
      <c r="I47" s="68" t="s">
        <v>30</v>
      </c>
      <c r="L47" s="116"/>
      <c r="M47" s="116"/>
      <c r="N47" s="115"/>
    </row>
    <row r="48" spans="1:19" x14ac:dyDescent="0.2">
      <c r="A48" s="70" t="s">
        <v>76</v>
      </c>
      <c r="B48" s="70" t="s">
        <v>151</v>
      </c>
      <c r="C48" s="69"/>
      <c r="D48" s="69"/>
      <c r="E48" s="70" t="s">
        <v>78</v>
      </c>
      <c r="F48" s="70" t="s">
        <v>39</v>
      </c>
      <c r="G48" s="56"/>
      <c r="H48" s="58" t="s">
        <v>79</v>
      </c>
      <c r="I48" s="68" t="s">
        <v>30</v>
      </c>
      <c r="L48" s="116"/>
      <c r="M48" s="116"/>
      <c r="N48" s="115"/>
    </row>
    <row r="49" spans="1:14" x14ac:dyDescent="0.2">
      <c r="A49" s="70" t="s">
        <v>76</v>
      </c>
      <c r="B49" s="70" t="s">
        <v>152</v>
      </c>
      <c r="C49" s="69"/>
      <c r="D49" s="69"/>
      <c r="E49" s="70" t="s">
        <v>78</v>
      </c>
      <c r="F49" s="70" t="s">
        <v>39</v>
      </c>
      <c r="G49" s="56"/>
      <c r="H49" s="58" t="s">
        <v>79</v>
      </c>
      <c r="I49" s="68" t="s">
        <v>30</v>
      </c>
      <c r="L49" s="116"/>
      <c r="M49" s="116"/>
      <c r="N49" s="115"/>
    </row>
    <row r="50" spans="1:14" x14ac:dyDescent="0.2">
      <c r="A50" s="70" t="s">
        <v>76</v>
      </c>
      <c r="B50" s="70" t="s">
        <v>153</v>
      </c>
      <c r="C50" s="69"/>
      <c r="D50" s="69"/>
      <c r="E50" s="70" t="s">
        <v>78</v>
      </c>
      <c r="F50" s="70" t="s">
        <v>39</v>
      </c>
      <c r="G50" s="56"/>
      <c r="H50" s="58" t="s">
        <v>79</v>
      </c>
      <c r="I50" s="68" t="s">
        <v>30</v>
      </c>
      <c r="L50" s="116"/>
      <c r="M50" s="116"/>
      <c r="N50" s="115"/>
    </row>
    <row r="51" spans="1:14" x14ac:dyDescent="0.2">
      <c r="A51" s="70" t="s">
        <v>76</v>
      </c>
      <c r="B51" s="70" t="s">
        <v>154</v>
      </c>
      <c r="C51" s="69"/>
      <c r="D51" s="69"/>
      <c r="E51" s="70" t="s">
        <v>78</v>
      </c>
      <c r="F51" s="70" t="s">
        <v>39</v>
      </c>
      <c r="G51" s="56"/>
      <c r="H51" s="58" t="s">
        <v>79</v>
      </c>
      <c r="I51" s="68" t="s">
        <v>30</v>
      </c>
      <c r="L51" s="116"/>
      <c r="M51" s="116"/>
      <c r="N51" s="115"/>
    </row>
    <row r="52" spans="1:14" x14ac:dyDescent="0.2">
      <c r="A52" s="70" t="s">
        <v>76</v>
      </c>
      <c r="B52" s="70" t="s">
        <v>155</v>
      </c>
      <c r="C52" s="69"/>
      <c r="D52" s="69"/>
      <c r="E52" s="70" t="s">
        <v>78</v>
      </c>
      <c r="F52" s="70" t="s">
        <v>39</v>
      </c>
      <c r="G52" s="56"/>
      <c r="H52" s="58" t="s">
        <v>79</v>
      </c>
      <c r="I52" s="68" t="s">
        <v>30</v>
      </c>
      <c r="L52" s="116"/>
      <c r="M52" s="116"/>
      <c r="N52" s="115"/>
    </row>
    <row r="53" spans="1:14" x14ac:dyDescent="0.2">
      <c r="A53" s="70" t="s">
        <v>76</v>
      </c>
      <c r="B53" s="70" t="s">
        <v>156</v>
      </c>
      <c r="C53" s="69"/>
      <c r="D53" s="69"/>
      <c r="E53" s="70" t="s">
        <v>78</v>
      </c>
      <c r="F53" s="70" t="s">
        <v>39</v>
      </c>
      <c r="G53" s="56"/>
      <c r="H53" s="58" t="s">
        <v>79</v>
      </c>
      <c r="I53" s="68" t="s">
        <v>30</v>
      </c>
      <c r="L53" s="116"/>
      <c r="M53" s="116"/>
      <c r="N53" s="115"/>
    </row>
    <row r="54" spans="1:14" x14ac:dyDescent="0.2">
      <c r="A54" s="70" t="s">
        <v>76</v>
      </c>
      <c r="B54" s="70" t="s">
        <v>157</v>
      </c>
      <c r="C54" s="69"/>
      <c r="D54" s="69"/>
      <c r="E54" s="70" t="s">
        <v>78</v>
      </c>
      <c r="F54" s="70" t="s">
        <v>39</v>
      </c>
      <c r="G54" s="56"/>
      <c r="H54" s="58" t="s">
        <v>79</v>
      </c>
      <c r="I54" s="68" t="s">
        <v>30</v>
      </c>
      <c r="L54" s="116"/>
      <c r="M54" s="116"/>
      <c r="N54" s="115"/>
    </row>
    <row r="55" spans="1:14" x14ac:dyDescent="0.2">
      <c r="A55" s="70" t="s">
        <v>76</v>
      </c>
      <c r="B55" s="70" t="s">
        <v>158</v>
      </c>
      <c r="C55" s="69"/>
      <c r="D55" s="69"/>
      <c r="E55" s="70" t="s">
        <v>78</v>
      </c>
      <c r="F55" s="70" t="s">
        <v>39</v>
      </c>
      <c r="G55" s="56"/>
      <c r="H55" s="58" t="s">
        <v>79</v>
      </c>
      <c r="I55" s="68" t="s">
        <v>30</v>
      </c>
      <c r="L55" s="116"/>
      <c r="M55" s="116"/>
      <c r="N55" s="115"/>
    </row>
    <row r="56" spans="1:14" x14ac:dyDescent="0.2">
      <c r="A56" s="70" t="s">
        <v>159</v>
      </c>
      <c r="B56" s="70" t="s">
        <v>160</v>
      </c>
      <c r="C56" s="69"/>
      <c r="D56" s="69"/>
      <c r="E56" s="69"/>
      <c r="F56" s="70" t="s">
        <v>39</v>
      </c>
      <c r="G56" s="56"/>
      <c r="H56" s="57" t="s">
        <v>161</v>
      </c>
      <c r="I56" s="68" t="s">
        <v>30</v>
      </c>
      <c r="L56" s="116"/>
      <c r="M56" s="116"/>
      <c r="N56" s="115"/>
    </row>
    <row r="57" spans="1:14" x14ac:dyDescent="0.2">
      <c r="A57" s="70" t="s">
        <v>159</v>
      </c>
      <c r="B57" s="70" t="s">
        <v>162</v>
      </c>
      <c r="C57" s="69"/>
      <c r="D57" s="69"/>
      <c r="E57" s="69"/>
      <c r="F57" s="70" t="s">
        <v>39</v>
      </c>
      <c r="G57" s="56"/>
      <c r="H57" s="57" t="s">
        <v>161</v>
      </c>
      <c r="I57" s="68" t="s">
        <v>30</v>
      </c>
      <c r="L57" s="116"/>
      <c r="M57" s="116"/>
      <c r="N57" s="115"/>
    </row>
    <row r="58" spans="1:14" x14ac:dyDescent="0.2">
      <c r="A58" s="70" t="s">
        <v>159</v>
      </c>
      <c r="B58" s="70" t="s">
        <v>163</v>
      </c>
      <c r="C58" s="69"/>
      <c r="D58" s="69"/>
      <c r="E58" s="69"/>
      <c r="F58" s="70" t="s">
        <v>39</v>
      </c>
      <c r="G58" s="56"/>
      <c r="H58" s="57" t="s">
        <v>161</v>
      </c>
      <c r="I58" s="68" t="s">
        <v>30</v>
      </c>
      <c r="L58" s="116"/>
      <c r="M58" s="116"/>
      <c r="N58" s="115"/>
    </row>
    <row r="59" spans="1:14" x14ac:dyDescent="0.2">
      <c r="A59" s="70" t="s">
        <v>159</v>
      </c>
      <c r="B59" s="70" t="s">
        <v>164</v>
      </c>
      <c r="C59" s="69"/>
      <c r="D59" s="69"/>
      <c r="E59" s="69"/>
      <c r="F59" s="70" t="s">
        <v>165</v>
      </c>
      <c r="G59" s="56"/>
      <c r="H59" s="57" t="s">
        <v>166</v>
      </c>
      <c r="I59" s="68" t="s">
        <v>30</v>
      </c>
      <c r="L59" s="116"/>
      <c r="M59" s="116"/>
      <c r="N59" s="115"/>
    </row>
    <row r="60" spans="1:14" x14ac:dyDescent="0.2">
      <c r="A60" s="70" t="s">
        <v>167</v>
      </c>
      <c r="B60" s="70" t="s">
        <v>168</v>
      </c>
      <c r="C60" s="70" t="s">
        <v>169</v>
      </c>
      <c r="D60" s="70" t="s">
        <v>170</v>
      </c>
      <c r="E60" s="69"/>
      <c r="F60" s="70" t="s">
        <v>39</v>
      </c>
      <c r="G60" s="56"/>
      <c r="H60" s="57"/>
      <c r="I60" s="68"/>
      <c r="L60" s="116"/>
      <c r="M60" s="116"/>
      <c r="N60" s="115"/>
    </row>
    <row r="61" spans="1:14" x14ac:dyDescent="0.2">
      <c r="A61" s="70" t="s">
        <v>167</v>
      </c>
      <c r="B61" s="70" t="s">
        <v>168</v>
      </c>
      <c r="C61" s="70" t="s">
        <v>169</v>
      </c>
      <c r="D61" s="70" t="s">
        <v>171</v>
      </c>
      <c r="E61" s="69"/>
      <c r="F61" s="70" t="s">
        <v>39</v>
      </c>
      <c r="G61" s="56"/>
      <c r="H61" s="57"/>
      <c r="I61" s="68"/>
      <c r="L61" s="116"/>
      <c r="M61" s="116"/>
      <c r="N61" s="115"/>
    </row>
    <row r="62" spans="1:14" x14ac:dyDescent="0.2">
      <c r="A62" s="70" t="s">
        <v>167</v>
      </c>
      <c r="B62" s="70" t="s">
        <v>172</v>
      </c>
      <c r="C62" s="70" t="s">
        <v>173</v>
      </c>
      <c r="D62" s="70" t="s">
        <v>170</v>
      </c>
      <c r="E62" s="69"/>
      <c r="F62" s="70" t="s">
        <v>39</v>
      </c>
      <c r="G62" s="56"/>
      <c r="H62" s="57"/>
      <c r="I62" s="68"/>
      <c r="L62" s="116"/>
      <c r="M62" s="116"/>
      <c r="N62" s="115"/>
    </row>
    <row r="63" spans="1:14" x14ac:dyDescent="0.2">
      <c r="A63" s="70" t="s">
        <v>167</v>
      </c>
      <c r="B63" s="70" t="s">
        <v>172</v>
      </c>
      <c r="C63" s="70" t="s">
        <v>173</v>
      </c>
      <c r="D63" s="70" t="s">
        <v>171</v>
      </c>
      <c r="E63" s="69"/>
      <c r="F63" s="70" t="s">
        <v>39</v>
      </c>
      <c r="G63" s="56"/>
      <c r="H63" s="57"/>
      <c r="I63" s="68"/>
      <c r="L63" s="116"/>
      <c r="M63" s="116"/>
      <c r="N63" s="115"/>
    </row>
    <row r="64" spans="1:14" x14ac:dyDescent="0.2">
      <c r="A64" s="70" t="s">
        <v>167</v>
      </c>
      <c r="B64" s="70" t="s">
        <v>172</v>
      </c>
      <c r="C64" s="70" t="s">
        <v>174</v>
      </c>
      <c r="D64" s="70" t="s">
        <v>170</v>
      </c>
      <c r="E64" s="69"/>
      <c r="F64" s="70" t="s">
        <v>39</v>
      </c>
      <c r="G64" s="56"/>
      <c r="H64" s="57"/>
      <c r="I64" s="68"/>
      <c r="L64" s="116"/>
      <c r="M64" s="116"/>
      <c r="N64" s="115"/>
    </row>
    <row r="65" spans="1:14" x14ac:dyDescent="0.2">
      <c r="A65" s="70" t="s">
        <v>167</v>
      </c>
      <c r="B65" s="70" t="s">
        <v>172</v>
      </c>
      <c r="C65" s="70" t="s">
        <v>174</v>
      </c>
      <c r="D65" s="70" t="s">
        <v>171</v>
      </c>
      <c r="E65" s="69"/>
      <c r="F65" s="70" t="s">
        <v>39</v>
      </c>
      <c r="G65" s="56"/>
      <c r="H65" s="57"/>
      <c r="I65" s="68"/>
      <c r="L65" s="116"/>
      <c r="M65" s="116"/>
      <c r="N65" s="115"/>
    </row>
    <row r="66" spans="1:14" x14ac:dyDescent="0.2">
      <c r="A66" s="70" t="s">
        <v>167</v>
      </c>
      <c r="B66" s="70" t="s">
        <v>172</v>
      </c>
      <c r="C66" s="70" t="s">
        <v>175</v>
      </c>
      <c r="D66" s="70" t="s">
        <v>170</v>
      </c>
      <c r="E66" s="69"/>
      <c r="F66" s="70" t="s">
        <v>39</v>
      </c>
      <c r="G66" s="56"/>
      <c r="H66" s="57"/>
      <c r="I66" s="68"/>
      <c r="L66" s="116"/>
      <c r="M66" s="116"/>
      <c r="N66" s="115"/>
    </row>
    <row r="67" spans="1:14" x14ac:dyDescent="0.2">
      <c r="A67" s="70" t="s">
        <v>167</v>
      </c>
      <c r="B67" s="70" t="s">
        <v>172</v>
      </c>
      <c r="C67" s="70" t="s">
        <v>175</v>
      </c>
      <c r="D67" s="70" t="s">
        <v>171</v>
      </c>
      <c r="E67" s="69"/>
      <c r="F67" s="70" t="s">
        <v>39</v>
      </c>
      <c r="G67" s="56"/>
      <c r="H67" s="57"/>
      <c r="I67" s="68"/>
      <c r="L67" s="116"/>
      <c r="M67" s="116"/>
      <c r="N67" s="115"/>
    </row>
    <row r="68" spans="1:14" x14ac:dyDescent="0.2">
      <c r="A68" s="70" t="s">
        <v>167</v>
      </c>
      <c r="B68" s="70" t="s">
        <v>172</v>
      </c>
      <c r="C68" s="70" t="s">
        <v>176</v>
      </c>
      <c r="D68" s="70" t="s">
        <v>170</v>
      </c>
      <c r="E68" s="69"/>
      <c r="F68" s="70" t="s">
        <v>39</v>
      </c>
      <c r="G68" s="56"/>
      <c r="H68" s="57"/>
      <c r="I68" s="68"/>
      <c r="L68" s="116"/>
      <c r="M68" s="116"/>
      <c r="N68" s="115"/>
    </row>
    <row r="69" spans="1:14" x14ac:dyDescent="0.2">
      <c r="A69" s="70" t="s">
        <v>167</v>
      </c>
      <c r="B69" s="70" t="s">
        <v>172</v>
      </c>
      <c r="C69" s="70" t="s">
        <v>176</v>
      </c>
      <c r="D69" s="70" t="s">
        <v>171</v>
      </c>
      <c r="E69" s="69"/>
      <c r="F69" s="70" t="s">
        <v>39</v>
      </c>
      <c r="G69" s="56"/>
      <c r="H69" s="57"/>
      <c r="I69" s="68"/>
      <c r="L69" s="116"/>
      <c r="M69" s="116"/>
      <c r="N69" s="115"/>
    </row>
    <row r="70" spans="1:14" x14ac:dyDescent="0.2">
      <c r="A70" s="70" t="s">
        <v>167</v>
      </c>
      <c r="B70" s="70" t="s">
        <v>172</v>
      </c>
      <c r="C70" s="70" t="s">
        <v>177</v>
      </c>
      <c r="D70" s="70" t="s">
        <v>170</v>
      </c>
      <c r="E70" s="69"/>
      <c r="F70" s="70" t="s">
        <v>39</v>
      </c>
      <c r="G70" s="56"/>
      <c r="H70" s="57"/>
      <c r="I70" s="68"/>
      <c r="L70" s="116"/>
      <c r="M70" s="116"/>
      <c r="N70" s="115"/>
    </row>
    <row r="71" spans="1:14" x14ac:dyDescent="0.2">
      <c r="A71" s="70" t="s">
        <v>167</v>
      </c>
      <c r="B71" s="70" t="s">
        <v>172</v>
      </c>
      <c r="C71" s="70" t="s">
        <v>177</v>
      </c>
      <c r="D71" s="70" t="s">
        <v>171</v>
      </c>
      <c r="E71" s="69"/>
      <c r="F71" s="70" t="s">
        <v>39</v>
      </c>
      <c r="G71" s="56"/>
      <c r="H71" s="57"/>
      <c r="I71" s="68"/>
      <c r="N71" s="115"/>
    </row>
    <row r="72" spans="1:14" x14ac:dyDescent="0.2">
      <c r="A72" s="70" t="s">
        <v>167</v>
      </c>
      <c r="B72" s="70" t="s">
        <v>172</v>
      </c>
      <c r="C72" s="70" t="s">
        <v>178</v>
      </c>
      <c r="D72" s="70" t="s">
        <v>170</v>
      </c>
      <c r="E72" s="69"/>
      <c r="F72" s="70" t="s">
        <v>39</v>
      </c>
      <c r="G72" s="56"/>
      <c r="H72" s="57"/>
      <c r="I72" s="68"/>
      <c r="N72" s="115"/>
    </row>
    <row r="73" spans="1:14" x14ac:dyDescent="0.2">
      <c r="A73" s="70" t="s">
        <v>167</v>
      </c>
      <c r="B73" s="70" t="s">
        <v>179</v>
      </c>
      <c r="C73" s="70" t="s">
        <v>169</v>
      </c>
      <c r="D73" s="70" t="s">
        <v>170</v>
      </c>
      <c r="E73" s="69"/>
      <c r="F73" s="70" t="s">
        <v>39</v>
      </c>
      <c r="G73" s="56"/>
      <c r="H73" s="57"/>
      <c r="I73" s="68"/>
      <c r="N73" s="115"/>
    </row>
    <row r="74" spans="1:14" x14ac:dyDescent="0.2">
      <c r="A74" s="70" t="s">
        <v>167</v>
      </c>
      <c r="B74" s="70" t="s">
        <v>179</v>
      </c>
      <c r="C74" s="70" t="s">
        <v>169</v>
      </c>
      <c r="D74" s="70" t="s">
        <v>171</v>
      </c>
      <c r="E74" s="69"/>
      <c r="F74" s="70" t="s">
        <v>39</v>
      </c>
      <c r="G74" s="56"/>
      <c r="H74" s="57"/>
      <c r="I74" s="68"/>
      <c r="N74" s="115"/>
    </row>
    <row r="75" spans="1:14" x14ac:dyDescent="0.2">
      <c r="A75" s="70" t="s">
        <v>167</v>
      </c>
      <c r="B75" s="70" t="s">
        <v>180</v>
      </c>
      <c r="C75" s="70" t="s">
        <v>181</v>
      </c>
      <c r="D75" s="70" t="s">
        <v>170</v>
      </c>
      <c r="E75" s="69"/>
      <c r="F75" s="70" t="s">
        <v>39</v>
      </c>
      <c r="G75" s="56"/>
      <c r="H75" s="57"/>
      <c r="I75" s="68"/>
      <c r="N75" s="115"/>
    </row>
    <row r="76" spans="1:14" x14ac:dyDescent="0.2">
      <c r="A76" s="70" t="s">
        <v>167</v>
      </c>
      <c r="B76" s="70" t="s">
        <v>180</v>
      </c>
      <c r="C76" s="70" t="s">
        <v>181</v>
      </c>
      <c r="D76" s="70" t="s">
        <v>171</v>
      </c>
      <c r="E76" s="69"/>
      <c r="F76" s="70" t="s">
        <v>39</v>
      </c>
      <c r="G76" s="56"/>
      <c r="H76" s="57"/>
      <c r="I76" s="68"/>
      <c r="N76" s="115"/>
    </row>
    <row r="77" spans="1:14" x14ac:dyDescent="0.2">
      <c r="A77" s="70" t="s">
        <v>167</v>
      </c>
      <c r="B77" s="70" t="s">
        <v>180</v>
      </c>
      <c r="C77" s="70" t="s">
        <v>182</v>
      </c>
      <c r="D77" s="70" t="s">
        <v>170</v>
      </c>
      <c r="E77" s="69"/>
      <c r="F77" s="70" t="s">
        <v>39</v>
      </c>
      <c r="G77" s="56"/>
      <c r="H77" s="57"/>
      <c r="I77" s="68"/>
      <c r="N77" s="115"/>
    </row>
    <row r="78" spans="1:14" x14ac:dyDescent="0.2">
      <c r="A78" s="70" t="s">
        <v>167</v>
      </c>
      <c r="B78" s="70" t="s">
        <v>180</v>
      </c>
      <c r="C78" s="70" t="s">
        <v>182</v>
      </c>
      <c r="D78" s="70" t="s">
        <v>171</v>
      </c>
      <c r="E78" s="69"/>
      <c r="F78" s="70" t="s">
        <v>39</v>
      </c>
      <c r="G78" s="56"/>
      <c r="H78" s="57"/>
      <c r="I78" s="68"/>
      <c r="L78" s="116"/>
      <c r="M78" s="116"/>
      <c r="N78" s="115"/>
    </row>
    <row r="79" spans="1:14" x14ac:dyDescent="0.2">
      <c r="A79" s="70" t="s">
        <v>167</v>
      </c>
      <c r="B79" s="70" t="s">
        <v>180</v>
      </c>
      <c r="C79" s="70" t="s">
        <v>183</v>
      </c>
      <c r="D79" s="70" t="s">
        <v>170</v>
      </c>
      <c r="E79" s="69"/>
      <c r="F79" s="70" t="s">
        <v>39</v>
      </c>
      <c r="G79" s="56"/>
      <c r="H79" s="57"/>
      <c r="I79" s="68"/>
      <c r="L79" s="116"/>
      <c r="M79" s="116"/>
      <c r="N79" s="115"/>
    </row>
    <row r="80" spans="1:14" x14ac:dyDescent="0.2">
      <c r="A80" s="70" t="s">
        <v>167</v>
      </c>
      <c r="B80" s="70" t="s">
        <v>180</v>
      </c>
      <c r="C80" s="70" t="s">
        <v>183</v>
      </c>
      <c r="D80" s="70" t="s">
        <v>171</v>
      </c>
      <c r="E80" s="69"/>
      <c r="F80" s="70" t="s">
        <v>39</v>
      </c>
      <c r="G80" s="56"/>
      <c r="H80" s="57"/>
      <c r="I80" s="68"/>
      <c r="L80" s="116"/>
      <c r="M80" s="116"/>
      <c r="N80" s="115"/>
    </row>
    <row r="81" spans="1:14" x14ac:dyDescent="0.2">
      <c r="A81" s="70" t="s">
        <v>167</v>
      </c>
      <c r="B81" s="70" t="s">
        <v>180</v>
      </c>
      <c r="C81" s="70" t="s">
        <v>184</v>
      </c>
      <c r="D81" s="70" t="s">
        <v>170</v>
      </c>
      <c r="E81" s="69"/>
      <c r="F81" s="70" t="s">
        <v>39</v>
      </c>
      <c r="G81" s="56"/>
      <c r="H81" s="57"/>
      <c r="I81" s="68"/>
      <c r="L81" s="116"/>
      <c r="M81" s="116"/>
      <c r="N81" s="115"/>
    </row>
    <row r="82" spans="1:14" x14ac:dyDescent="0.2">
      <c r="A82" s="70" t="s">
        <v>167</v>
      </c>
      <c r="B82" s="70" t="s">
        <v>180</v>
      </c>
      <c r="C82" s="70" t="s">
        <v>184</v>
      </c>
      <c r="D82" s="70" t="s">
        <v>171</v>
      </c>
      <c r="E82" s="69"/>
      <c r="F82" s="70" t="s">
        <v>39</v>
      </c>
      <c r="G82" s="56"/>
      <c r="H82" s="57"/>
      <c r="I82" s="68"/>
      <c r="L82" s="116"/>
      <c r="M82" s="116"/>
      <c r="N82" s="115"/>
    </row>
    <row r="83" spans="1:14" x14ac:dyDescent="0.2">
      <c r="A83" s="70" t="s">
        <v>167</v>
      </c>
      <c r="B83" s="70" t="s">
        <v>180</v>
      </c>
      <c r="C83" s="70" t="s">
        <v>169</v>
      </c>
      <c r="D83" s="70" t="s">
        <v>170</v>
      </c>
      <c r="E83" s="69"/>
      <c r="F83" s="70" t="s">
        <v>39</v>
      </c>
      <c r="G83" s="56"/>
      <c r="H83" s="57"/>
      <c r="I83" s="68"/>
      <c r="L83" s="116"/>
      <c r="M83" s="116"/>
      <c r="N83" s="115"/>
    </row>
    <row r="84" spans="1:14" x14ac:dyDescent="0.2">
      <c r="A84" s="70" t="s">
        <v>167</v>
      </c>
      <c r="B84" s="70" t="s">
        <v>185</v>
      </c>
      <c r="C84" s="70" t="s">
        <v>186</v>
      </c>
      <c r="D84" s="70" t="s">
        <v>170</v>
      </c>
      <c r="E84" s="69"/>
      <c r="F84" s="70" t="s">
        <v>39</v>
      </c>
      <c r="G84" s="56"/>
      <c r="H84" s="57"/>
      <c r="I84" s="68"/>
    </row>
    <row r="85" spans="1:14" x14ac:dyDescent="0.2">
      <c r="A85" s="70" t="s">
        <v>167</v>
      </c>
      <c r="B85" s="70" t="s">
        <v>185</v>
      </c>
      <c r="C85" s="70" t="s">
        <v>186</v>
      </c>
      <c r="D85" s="70" t="s">
        <v>171</v>
      </c>
      <c r="E85" s="69"/>
      <c r="F85" s="70" t="s">
        <v>39</v>
      </c>
      <c r="G85" s="56"/>
      <c r="H85" s="57"/>
      <c r="I85" s="68"/>
    </row>
    <row r="86" spans="1:14" x14ac:dyDescent="0.2">
      <c r="A86" s="70" t="s">
        <v>167</v>
      </c>
      <c r="B86" s="70" t="s">
        <v>185</v>
      </c>
      <c r="C86" s="70" t="s">
        <v>186</v>
      </c>
      <c r="D86" s="70" t="s">
        <v>171</v>
      </c>
      <c r="E86" s="69"/>
      <c r="F86" s="70" t="s">
        <v>187</v>
      </c>
      <c r="G86" s="56"/>
      <c r="H86" s="57"/>
      <c r="I86" s="68"/>
    </row>
    <row r="87" spans="1:14" x14ac:dyDescent="0.2">
      <c r="A87" s="70" t="s">
        <v>167</v>
      </c>
      <c r="B87" s="70" t="s">
        <v>185</v>
      </c>
      <c r="C87" s="70" t="s">
        <v>188</v>
      </c>
      <c r="D87" s="70" t="s">
        <v>170</v>
      </c>
      <c r="E87" s="69"/>
      <c r="F87" s="70" t="s">
        <v>39</v>
      </c>
      <c r="G87" s="56"/>
      <c r="H87" s="57"/>
      <c r="I87" s="68"/>
    </row>
    <row r="88" spans="1:14" x14ac:dyDescent="0.2">
      <c r="A88" s="70" t="s">
        <v>167</v>
      </c>
      <c r="B88" s="70" t="s">
        <v>185</v>
      </c>
      <c r="C88" s="70" t="s">
        <v>188</v>
      </c>
      <c r="D88" s="70" t="s">
        <v>171</v>
      </c>
      <c r="E88" s="69"/>
      <c r="F88" s="70" t="s">
        <v>39</v>
      </c>
      <c r="G88" s="56"/>
      <c r="H88" s="57"/>
      <c r="I88" s="68"/>
    </row>
    <row r="89" spans="1:14" x14ac:dyDescent="0.2">
      <c r="A89" s="70" t="s">
        <v>167</v>
      </c>
      <c r="B89" s="70" t="s">
        <v>189</v>
      </c>
      <c r="C89" s="70" t="s">
        <v>190</v>
      </c>
      <c r="D89" s="70" t="s">
        <v>170</v>
      </c>
      <c r="E89" s="69"/>
      <c r="F89" s="70" t="s">
        <v>39</v>
      </c>
      <c r="G89" s="56"/>
      <c r="H89" s="57"/>
      <c r="I89" s="68"/>
    </row>
    <row r="90" spans="1:14" x14ac:dyDescent="0.2">
      <c r="A90" s="70" t="s">
        <v>167</v>
      </c>
      <c r="B90" s="70" t="s">
        <v>189</v>
      </c>
      <c r="C90" s="70" t="s">
        <v>190</v>
      </c>
      <c r="D90" s="70" t="s">
        <v>171</v>
      </c>
      <c r="E90" s="69"/>
      <c r="F90" s="70" t="s">
        <v>39</v>
      </c>
      <c r="G90" s="56"/>
      <c r="H90" s="57"/>
      <c r="I90" s="68"/>
    </row>
    <row r="91" spans="1:14" x14ac:dyDescent="0.2">
      <c r="A91" s="70" t="s">
        <v>167</v>
      </c>
      <c r="B91" s="70" t="s">
        <v>189</v>
      </c>
      <c r="C91" s="70" t="s">
        <v>191</v>
      </c>
      <c r="D91" s="70" t="s">
        <v>170</v>
      </c>
      <c r="E91" s="69"/>
      <c r="F91" s="70" t="s">
        <v>39</v>
      </c>
      <c r="G91" s="56"/>
      <c r="H91" s="57"/>
      <c r="I91" s="68"/>
    </row>
    <row r="92" spans="1:14" x14ac:dyDescent="0.2">
      <c r="A92" s="70" t="s">
        <v>167</v>
      </c>
      <c r="B92" s="70" t="s">
        <v>189</v>
      </c>
      <c r="C92" s="70" t="s">
        <v>191</v>
      </c>
      <c r="D92" s="70" t="s">
        <v>171</v>
      </c>
      <c r="E92" s="69"/>
      <c r="F92" s="70" t="s">
        <v>39</v>
      </c>
      <c r="G92" s="56"/>
      <c r="H92" s="57"/>
      <c r="I92" s="68"/>
    </row>
    <row r="93" spans="1:14" x14ac:dyDescent="0.2">
      <c r="A93" s="70" t="s">
        <v>167</v>
      </c>
      <c r="B93" s="70" t="s">
        <v>189</v>
      </c>
      <c r="C93" s="70" t="s">
        <v>192</v>
      </c>
      <c r="D93" s="70" t="s">
        <v>170</v>
      </c>
      <c r="E93" s="69"/>
      <c r="F93" s="70" t="s">
        <v>39</v>
      </c>
      <c r="G93" s="56"/>
      <c r="H93" s="57"/>
      <c r="I93" s="68"/>
    </row>
    <row r="94" spans="1:14" x14ac:dyDescent="0.2">
      <c r="A94" s="70" t="s">
        <v>167</v>
      </c>
      <c r="B94" s="70" t="s">
        <v>189</v>
      </c>
      <c r="C94" s="70" t="s">
        <v>192</v>
      </c>
      <c r="D94" s="70" t="s">
        <v>171</v>
      </c>
      <c r="E94" s="69"/>
      <c r="F94" s="70" t="s">
        <v>39</v>
      </c>
      <c r="G94" s="56"/>
      <c r="H94" s="57"/>
      <c r="I94" s="68"/>
    </row>
    <row r="95" spans="1:14" x14ac:dyDescent="0.2">
      <c r="A95" s="70" t="s">
        <v>167</v>
      </c>
      <c r="B95" s="70" t="s">
        <v>189</v>
      </c>
      <c r="C95" s="70" t="s">
        <v>193</v>
      </c>
      <c r="D95" s="70" t="s">
        <v>170</v>
      </c>
      <c r="E95" s="69"/>
      <c r="F95" s="70" t="s">
        <v>39</v>
      </c>
      <c r="G95" s="56"/>
      <c r="H95" s="57"/>
      <c r="I95" s="68"/>
    </row>
    <row r="96" spans="1:14" x14ac:dyDescent="0.2">
      <c r="A96" s="70" t="s">
        <v>167</v>
      </c>
      <c r="B96" s="70" t="s">
        <v>189</v>
      </c>
      <c r="C96" s="70" t="s">
        <v>194</v>
      </c>
      <c r="D96" s="70" t="s">
        <v>170</v>
      </c>
      <c r="E96" s="69"/>
      <c r="F96" s="70" t="s">
        <v>39</v>
      </c>
      <c r="G96" s="56"/>
      <c r="H96" s="57"/>
      <c r="I96" s="68"/>
    </row>
    <row r="97" spans="1:9" x14ac:dyDescent="0.2">
      <c r="A97" s="70" t="s">
        <v>167</v>
      </c>
      <c r="B97" s="70" t="s">
        <v>189</v>
      </c>
      <c r="C97" s="70" t="s">
        <v>194</v>
      </c>
      <c r="D97" s="70" t="s">
        <v>171</v>
      </c>
      <c r="E97" s="69"/>
      <c r="F97" s="70" t="s">
        <v>39</v>
      </c>
      <c r="G97" s="56"/>
      <c r="H97" s="57"/>
      <c r="I97" s="68"/>
    </row>
    <row r="98" spans="1:9" x14ac:dyDescent="0.2">
      <c r="A98" s="70" t="s">
        <v>167</v>
      </c>
      <c r="B98" s="70" t="s">
        <v>189</v>
      </c>
      <c r="C98" s="70" t="s">
        <v>195</v>
      </c>
      <c r="D98" s="70" t="s">
        <v>170</v>
      </c>
      <c r="E98" s="69"/>
      <c r="F98" s="70" t="s">
        <v>39</v>
      </c>
      <c r="G98" s="56"/>
      <c r="H98" s="57"/>
      <c r="I98" s="68"/>
    </row>
    <row r="99" spans="1:9" x14ac:dyDescent="0.2">
      <c r="A99" s="70" t="s">
        <v>167</v>
      </c>
      <c r="B99" s="70" t="s">
        <v>189</v>
      </c>
      <c r="C99" s="70" t="s">
        <v>195</v>
      </c>
      <c r="D99" s="70" t="s">
        <v>171</v>
      </c>
      <c r="E99" s="69"/>
      <c r="F99" s="70" t="s">
        <v>39</v>
      </c>
      <c r="G99" s="56"/>
      <c r="H99" s="57"/>
      <c r="I99" s="68"/>
    </row>
    <row r="100" spans="1:9" x14ac:dyDescent="0.2">
      <c r="A100" s="70" t="s">
        <v>167</v>
      </c>
      <c r="B100" s="70" t="s">
        <v>189</v>
      </c>
      <c r="C100" s="70" t="s">
        <v>196</v>
      </c>
      <c r="D100" s="70" t="s">
        <v>170</v>
      </c>
      <c r="E100" s="69"/>
      <c r="F100" s="70" t="s">
        <v>39</v>
      </c>
      <c r="G100" s="56"/>
      <c r="H100" s="57"/>
      <c r="I100" s="68"/>
    </row>
    <row r="101" spans="1:9" x14ac:dyDescent="0.2">
      <c r="A101" s="70" t="s">
        <v>167</v>
      </c>
      <c r="B101" s="70" t="s">
        <v>189</v>
      </c>
      <c r="C101" s="70" t="s">
        <v>196</v>
      </c>
      <c r="D101" s="70" t="s">
        <v>171</v>
      </c>
      <c r="E101" s="69"/>
      <c r="F101" s="70" t="s">
        <v>39</v>
      </c>
      <c r="G101" s="56"/>
      <c r="H101" s="57"/>
      <c r="I101" s="68"/>
    </row>
    <row r="102" spans="1:9" x14ac:dyDescent="0.2">
      <c r="A102" s="70" t="s">
        <v>167</v>
      </c>
      <c r="B102" s="70" t="s">
        <v>189</v>
      </c>
      <c r="C102" s="70" t="s">
        <v>197</v>
      </c>
      <c r="D102" s="70" t="s">
        <v>170</v>
      </c>
      <c r="E102" s="69"/>
      <c r="F102" s="70" t="s">
        <v>39</v>
      </c>
      <c r="G102" s="56"/>
      <c r="H102" s="57"/>
      <c r="I102" s="68"/>
    </row>
    <row r="103" spans="1:9" x14ac:dyDescent="0.2">
      <c r="A103" s="70" t="s">
        <v>167</v>
      </c>
      <c r="B103" s="70" t="s">
        <v>189</v>
      </c>
      <c r="C103" s="70" t="s">
        <v>197</v>
      </c>
      <c r="D103" s="70" t="s">
        <v>171</v>
      </c>
      <c r="E103" s="69"/>
      <c r="F103" s="70" t="s">
        <v>39</v>
      </c>
      <c r="G103" s="56"/>
      <c r="H103" s="57"/>
      <c r="I103" s="68"/>
    </row>
    <row r="104" spans="1:9" x14ac:dyDescent="0.2">
      <c r="A104" s="70" t="s">
        <v>167</v>
      </c>
      <c r="B104" s="70" t="s">
        <v>189</v>
      </c>
      <c r="C104" s="70" t="s">
        <v>198</v>
      </c>
      <c r="D104" s="70" t="s">
        <v>170</v>
      </c>
      <c r="E104" s="69"/>
      <c r="F104" s="70" t="s">
        <v>39</v>
      </c>
      <c r="G104" s="56"/>
      <c r="H104" s="57"/>
      <c r="I104" s="68"/>
    </row>
    <row r="105" spans="1:9" x14ac:dyDescent="0.2">
      <c r="A105" s="70" t="s">
        <v>167</v>
      </c>
      <c r="B105" s="70" t="s">
        <v>189</v>
      </c>
      <c r="C105" s="70" t="s">
        <v>198</v>
      </c>
      <c r="D105" s="70" t="s">
        <v>171</v>
      </c>
      <c r="E105" s="69"/>
      <c r="F105" s="70" t="s">
        <v>39</v>
      </c>
      <c r="G105" s="56"/>
      <c r="H105" s="57"/>
      <c r="I105" s="68"/>
    </row>
    <row r="106" spans="1:9" x14ac:dyDescent="0.2">
      <c r="A106" s="70" t="s">
        <v>167</v>
      </c>
      <c r="B106" s="70" t="s">
        <v>189</v>
      </c>
      <c r="C106" s="70" t="s">
        <v>199</v>
      </c>
      <c r="D106" s="70" t="s">
        <v>170</v>
      </c>
      <c r="E106" s="69"/>
      <c r="F106" s="70" t="s">
        <v>39</v>
      </c>
      <c r="G106" s="56"/>
      <c r="H106" s="57"/>
      <c r="I106" s="68"/>
    </row>
    <row r="107" spans="1:9" x14ac:dyDescent="0.2">
      <c r="A107" s="70" t="s">
        <v>167</v>
      </c>
      <c r="B107" s="70" t="s">
        <v>189</v>
      </c>
      <c r="C107" s="70" t="s">
        <v>199</v>
      </c>
      <c r="D107" s="70" t="s">
        <v>171</v>
      </c>
      <c r="E107" s="69"/>
      <c r="F107" s="70" t="s">
        <v>39</v>
      </c>
      <c r="G107" s="56"/>
      <c r="H107" s="57"/>
      <c r="I107" s="68"/>
    </row>
    <row r="108" spans="1:9" x14ac:dyDescent="0.2">
      <c r="A108" s="70" t="s">
        <v>167</v>
      </c>
      <c r="B108" s="70" t="s">
        <v>189</v>
      </c>
      <c r="C108" s="70" t="s">
        <v>200</v>
      </c>
      <c r="D108" s="70" t="s">
        <v>170</v>
      </c>
      <c r="E108" s="69"/>
      <c r="F108" s="70" t="s">
        <v>39</v>
      </c>
      <c r="G108" s="56"/>
      <c r="H108" s="57"/>
      <c r="I108" s="68"/>
    </row>
    <row r="109" spans="1:9" x14ac:dyDescent="0.2">
      <c r="A109" s="70" t="s">
        <v>167</v>
      </c>
      <c r="B109" s="70" t="s">
        <v>189</v>
      </c>
      <c r="C109" s="70" t="s">
        <v>201</v>
      </c>
      <c r="D109" s="70" t="s">
        <v>170</v>
      </c>
      <c r="E109" s="69"/>
      <c r="F109" s="70" t="s">
        <v>39</v>
      </c>
      <c r="G109" s="56"/>
      <c r="H109" s="57"/>
      <c r="I109" s="68"/>
    </row>
    <row r="110" spans="1:9" x14ac:dyDescent="0.2">
      <c r="A110" s="70" t="s">
        <v>167</v>
      </c>
      <c r="B110" s="70" t="s">
        <v>189</v>
      </c>
      <c r="C110" s="70" t="s">
        <v>201</v>
      </c>
      <c r="D110" s="70" t="s">
        <v>171</v>
      </c>
      <c r="E110" s="69"/>
      <c r="F110" s="70" t="s">
        <v>39</v>
      </c>
      <c r="G110" s="56"/>
      <c r="H110" s="57"/>
      <c r="I110" s="68"/>
    </row>
    <row r="111" spans="1:9" x14ac:dyDescent="0.2">
      <c r="A111" s="70" t="s">
        <v>167</v>
      </c>
      <c r="B111" s="70" t="s">
        <v>189</v>
      </c>
      <c r="C111" s="70" t="s">
        <v>202</v>
      </c>
      <c r="D111" s="70" t="s">
        <v>170</v>
      </c>
      <c r="E111" s="69"/>
      <c r="F111" s="70" t="s">
        <v>39</v>
      </c>
      <c r="G111" s="56"/>
      <c r="H111" s="57"/>
      <c r="I111" s="68"/>
    </row>
    <row r="112" spans="1:9" x14ac:dyDescent="0.2">
      <c r="A112" s="70" t="s">
        <v>167</v>
      </c>
      <c r="B112" s="70" t="s">
        <v>189</v>
      </c>
      <c r="C112" s="70" t="s">
        <v>202</v>
      </c>
      <c r="D112" s="70" t="s">
        <v>171</v>
      </c>
      <c r="E112" s="69"/>
      <c r="F112" s="70" t="s">
        <v>39</v>
      </c>
      <c r="G112" s="56"/>
      <c r="H112" s="57"/>
      <c r="I112" s="68"/>
    </row>
    <row r="113" spans="1:9" x14ac:dyDescent="0.2">
      <c r="A113" s="70" t="s">
        <v>167</v>
      </c>
      <c r="B113" s="70" t="s">
        <v>189</v>
      </c>
      <c r="C113" s="70" t="s">
        <v>203</v>
      </c>
      <c r="D113" s="70" t="s">
        <v>170</v>
      </c>
      <c r="E113" s="69"/>
      <c r="F113" s="70" t="s">
        <v>39</v>
      </c>
      <c r="G113" s="56"/>
      <c r="H113" s="57"/>
      <c r="I113" s="68"/>
    </row>
    <row r="114" spans="1:9" x14ac:dyDescent="0.2">
      <c r="A114" s="70" t="s">
        <v>167</v>
      </c>
      <c r="B114" s="70" t="s">
        <v>189</v>
      </c>
      <c r="C114" s="70" t="s">
        <v>203</v>
      </c>
      <c r="D114" s="70" t="s">
        <v>171</v>
      </c>
      <c r="E114" s="69"/>
      <c r="F114" s="70" t="s">
        <v>39</v>
      </c>
      <c r="G114" s="56"/>
      <c r="H114" s="57"/>
      <c r="I114" s="68"/>
    </row>
    <row r="115" spans="1:9" x14ac:dyDescent="0.2">
      <c r="A115" s="70" t="s">
        <v>167</v>
      </c>
      <c r="B115" s="70" t="s">
        <v>189</v>
      </c>
      <c r="C115" s="70" t="s">
        <v>204</v>
      </c>
      <c r="D115" s="70" t="s">
        <v>170</v>
      </c>
      <c r="E115" s="69"/>
      <c r="F115" s="70" t="s">
        <v>39</v>
      </c>
      <c r="G115" s="56"/>
      <c r="H115" s="57"/>
      <c r="I115" s="68"/>
    </row>
    <row r="116" spans="1:9" x14ac:dyDescent="0.2">
      <c r="A116" s="70" t="s">
        <v>167</v>
      </c>
      <c r="B116" s="70" t="s">
        <v>189</v>
      </c>
      <c r="C116" s="70" t="s">
        <v>204</v>
      </c>
      <c r="D116" s="70" t="s">
        <v>171</v>
      </c>
      <c r="E116" s="69"/>
      <c r="F116" s="70" t="s">
        <v>39</v>
      </c>
      <c r="G116" s="56"/>
      <c r="H116" s="57"/>
      <c r="I116" s="68"/>
    </row>
    <row r="117" spans="1:9" x14ac:dyDescent="0.2">
      <c r="A117" s="70" t="s">
        <v>167</v>
      </c>
      <c r="B117" s="70" t="s">
        <v>189</v>
      </c>
      <c r="C117" s="70" t="s">
        <v>205</v>
      </c>
      <c r="D117" s="70" t="s">
        <v>170</v>
      </c>
      <c r="E117" s="69"/>
      <c r="F117" s="70" t="s">
        <v>39</v>
      </c>
      <c r="G117" s="56"/>
      <c r="H117" s="57"/>
      <c r="I117" s="68"/>
    </row>
    <row r="118" spans="1:9" x14ac:dyDescent="0.2">
      <c r="A118" s="70" t="s">
        <v>167</v>
      </c>
      <c r="B118" s="70" t="s">
        <v>189</v>
      </c>
      <c r="C118" s="70" t="s">
        <v>205</v>
      </c>
      <c r="D118" s="70" t="s">
        <v>171</v>
      </c>
      <c r="E118" s="69"/>
      <c r="F118" s="70" t="s">
        <v>39</v>
      </c>
      <c r="G118" s="56"/>
      <c r="H118" s="57"/>
      <c r="I118" s="68"/>
    </row>
    <row r="119" spans="1:9" x14ac:dyDescent="0.2">
      <c r="A119" s="70" t="s">
        <v>167</v>
      </c>
      <c r="B119" s="70" t="s">
        <v>189</v>
      </c>
      <c r="C119" s="70" t="s">
        <v>206</v>
      </c>
      <c r="D119" s="70" t="s">
        <v>170</v>
      </c>
      <c r="E119" s="69"/>
      <c r="F119" s="70" t="s">
        <v>39</v>
      </c>
      <c r="G119" s="56"/>
      <c r="H119" s="57"/>
      <c r="I119" s="68"/>
    </row>
    <row r="120" spans="1:9" x14ac:dyDescent="0.2">
      <c r="A120" s="70" t="s">
        <v>167</v>
      </c>
      <c r="B120" s="70" t="s">
        <v>189</v>
      </c>
      <c r="C120" s="70" t="s">
        <v>206</v>
      </c>
      <c r="D120" s="70" t="s">
        <v>171</v>
      </c>
      <c r="E120" s="69"/>
      <c r="F120" s="70" t="s">
        <v>39</v>
      </c>
      <c r="G120" s="56"/>
      <c r="H120" s="57"/>
      <c r="I120" s="68"/>
    </row>
    <row r="121" spans="1:9" x14ac:dyDescent="0.2">
      <c r="A121" s="70" t="s">
        <v>167</v>
      </c>
      <c r="B121" s="70" t="s">
        <v>189</v>
      </c>
      <c r="C121" s="70" t="s">
        <v>169</v>
      </c>
      <c r="D121" s="70" t="s">
        <v>170</v>
      </c>
      <c r="E121" s="69"/>
      <c r="F121" s="70" t="s">
        <v>39</v>
      </c>
      <c r="G121" s="56"/>
      <c r="H121" s="57"/>
      <c r="I121" s="68"/>
    </row>
    <row r="122" spans="1:9" x14ac:dyDescent="0.2">
      <c r="A122" s="70" t="s">
        <v>167</v>
      </c>
      <c r="B122" s="70" t="s">
        <v>189</v>
      </c>
      <c r="C122" s="70" t="s">
        <v>207</v>
      </c>
      <c r="D122" s="70" t="s">
        <v>170</v>
      </c>
      <c r="E122" s="69"/>
      <c r="F122" s="70" t="s">
        <v>39</v>
      </c>
      <c r="G122" s="56"/>
      <c r="H122" s="57"/>
      <c r="I122" s="68"/>
    </row>
    <row r="123" spans="1:9" x14ac:dyDescent="0.2">
      <c r="A123" s="70" t="s">
        <v>167</v>
      </c>
      <c r="B123" s="70" t="s">
        <v>189</v>
      </c>
      <c r="C123" s="70" t="s">
        <v>207</v>
      </c>
      <c r="D123" s="70" t="s">
        <v>171</v>
      </c>
      <c r="E123" s="69"/>
      <c r="F123" s="70" t="s">
        <v>39</v>
      </c>
      <c r="G123" s="56"/>
      <c r="H123" s="57"/>
      <c r="I123" s="68"/>
    </row>
    <row r="124" spans="1:9" x14ac:dyDescent="0.2">
      <c r="A124" s="70" t="s">
        <v>167</v>
      </c>
      <c r="B124" s="70" t="s">
        <v>189</v>
      </c>
      <c r="C124" s="70" t="s">
        <v>208</v>
      </c>
      <c r="D124" s="70" t="s">
        <v>170</v>
      </c>
      <c r="E124" s="69"/>
      <c r="F124" s="70" t="s">
        <v>39</v>
      </c>
      <c r="G124" s="56"/>
      <c r="H124" s="57"/>
      <c r="I124" s="68"/>
    </row>
    <row r="125" spans="1:9" x14ac:dyDescent="0.2">
      <c r="A125" s="70" t="s">
        <v>167</v>
      </c>
      <c r="B125" s="70" t="s">
        <v>189</v>
      </c>
      <c r="C125" s="70" t="s">
        <v>209</v>
      </c>
      <c r="D125" s="70" t="s">
        <v>170</v>
      </c>
      <c r="E125" s="69"/>
      <c r="F125" s="70" t="s">
        <v>39</v>
      </c>
      <c r="G125" s="56"/>
      <c r="H125" s="57"/>
      <c r="I125" s="68"/>
    </row>
    <row r="126" spans="1:9" x14ac:dyDescent="0.2">
      <c r="A126" s="70" t="s">
        <v>167</v>
      </c>
      <c r="B126" s="70" t="s">
        <v>210</v>
      </c>
      <c r="C126" s="70" t="s">
        <v>169</v>
      </c>
      <c r="D126" s="70" t="s">
        <v>170</v>
      </c>
      <c r="E126" s="69"/>
      <c r="F126" s="70" t="s">
        <v>39</v>
      </c>
      <c r="G126" s="56"/>
      <c r="H126" s="57"/>
      <c r="I126" s="68"/>
    </row>
    <row r="127" spans="1:9" x14ac:dyDescent="0.2">
      <c r="A127" s="70" t="s">
        <v>167</v>
      </c>
      <c r="B127" s="70" t="s">
        <v>210</v>
      </c>
      <c r="C127" s="70" t="s">
        <v>169</v>
      </c>
      <c r="D127" s="70" t="s">
        <v>171</v>
      </c>
      <c r="E127" s="69"/>
      <c r="F127" s="70" t="s">
        <v>39</v>
      </c>
      <c r="G127" s="56"/>
      <c r="H127" s="57"/>
      <c r="I127" s="68"/>
    </row>
    <row r="128" spans="1:9" x14ac:dyDescent="0.2">
      <c r="A128" s="70" t="s">
        <v>167</v>
      </c>
      <c r="B128" s="70" t="s">
        <v>211</v>
      </c>
      <c r="C128" s="70" t="s">
        <v>169</v>
      </c>
      <c r="D128" s="70" t="s">
        <v>170</v>
      </c>
      <c r="E128" s="69"/>
      <c r="F128" s="70" t="s">
        <v>39</v>
      </c>
      <c r="G128" s="56"/>
      <c r="H128" s="57"/>
      <c r="I128" s="68"/>
    </row>
    <row r="129" spans="1:9" x14ac:dyDescent="0.2">
      <c r="A129" s="70" t="s">
        <v>167</v>
      </c>
      <c r="B129" s="70" t="s">
        <v>211</v>
      </c>
      <c r="C129" s="70" t="s">
        <v>169</v>
      </c>
      <c r="D129" s="70" t="s">
        <v>171</v>
      </c>
      <c r="E129" s="69"/>
      <c r="F129" s="70" t="s">
        <v>39</v>
      </c>
      <c r="G129" s="56"/>
      <c r="H129" s="57"/>
      <c r="I129" s="68"/>
    </row>
    <row r="130" spans="1:9" x14ac:dyDescent="0.2">
      <c r="A130" s="70" t="s">
        <v>167</v>
      </c>
      <c r="B130" s="70" t="s">
        <v>212</v>
      </c>
      <c r="C130" s="70" t="s">
        <v>213</v>
      </c>
      <c r="D130" s="70" t="s">
        <v>170</v>
      </c>
      <c r="E130" s="69"/>
      <c r="F130" s="70" t="s">
        <v>39</v>
      </c>
      <c r="G130" s="56"/>
      <c r="H130" s="57"/>
      <c r="I130" s="68"/>
    </row>
    <row r="131" spans="1:9" x14ac:dyDescent="0.2">
      <c r="A131" s="70" t="s">
        <v>167</v>
      </c>
      <c r="B131" s="70" t="s">
        <v>212</v>
      </c>
      <c r="C131" s="70" t="s">
        <v>213</v>
      </c>
      <c r="D131" s="70" t="s">
        <v>171</v>
      </c>
      <c r="E131" s="69"/>
      <c r="F131" s="70" t="s">
        <v>39</v>
      </c>
      <c r="G131" s="56"/>
      <c r="H131" s="57"/>
      <c r="I131" s="68"/>
    </row>
    <row r="132" spans="1:9" x14ac:dyDescent="0.2">
      <c r="A132" s="70" t="s">
        <v>167</v>
      </c>
      <c r="B132" s="70" t="s">
        <v>214</v>
      </c>
      <c r="C132" s="70" t="s">
        <v>169</v>
      </c>
      <c r="D132" s="70" t="s">
        <v>215</v>
      </c>
      <c r="E132" s="69"/>
      <c r="F132" s="70" t="s">
        <v>39</v>
      </c>
      <c r="G132" s="56"/>
      <c r="H132" s="57" t="s">
        <v>216</v>
      </c>
      <c r="I132" s="68" t="s">
        <v>30</v>
      </c>
    </row>
    <row r="133" spans="1:9" x14ac:dyDescent="0.2">
      <c r="A133" s="70" t="s">
        <v>167</v>
      </c>
      <c r="B133" s="70" t="s">
        <v>214</v>
      </c>
      <c r="C133" s="70" t="s">
        <v>169</v>
      </c>
      <c r="D133" s="70" t="s">
        <v>217</v>
      </c>
      <c r="E133" s="69"/>
      <c r="F133" s="70" t="s">
        <v>39</v>
      </c>
      <c r="G133" s="56"/>
      <c r="H133" s="57" t="s">
        <v>216</v>
      </c>
      <c r="I133" s="68" t="s">
        <v>30</v>
      </c>
    </row>
    <row r="134" spans="1:9" x14ac:dyDescent="0.2">
      <c r="A134" s="70" t="s">
        <v>167</v>
      </c>
      <c r="B134" s="70" t="s">
        <v>214</v>
      </c>
      <c r="C134" s="70" t="s">
        <v>169</v>
      </c>
      <c r="D134" s="70" t="s">
        <v>218</v>
      </c>
      <c r="E134" s="69"/>
      <c r="F134" s="70" t="s">
        <v>39</v>
      </c>
      <c r="G134" s="56"/>
      <c r="H134" s="57" t="s">
        <v>216</v>
      </c>
      <c r="I134" s="68" t="s">
        <v>30</v>
      </c>
    </row>
    <row r="135" spans="1:9" x14ac:dyDescent="0.2">
      <c r="A135" s="70" t="s">
        <v>167</v>
      </c>
      <c r="B135" s="70" t="s">
        <v>214</v>
      </c>
      <c r="C135" s="70" t="s">
        <v>169</v>
      </c>
      <c r="D135" s="70" t="s">
        <v>219</v>
      </c>
      <c r="E135" s="69"/>
      <c r="F135" s="70" t="s">
        <v>39</v>
      </c>
      <c r="G135" s="56"/>
      <c r="H135" s="57" t="s">
        <v>216</v>
      </c>
      <c r="I135" s="68" t="s">
        <v>30</v>
      </c>
    </row>
    <row r="136" spans="1:9" x14ac:dyDescent="0.2">
      <c r="A136" s="70" t="s">
        <v>167</v>
      </c>
      <c r="B136" s="70" t="s">
        <v>220</v>
      </c>
      <c r="C136" s="70" t="s">
        <v>221</v>
      </c>
      <c r="D136" s="70" t="s">
        <v>170</v>
      </c>
      <c r="E136" s="69"/>
      <c r="F136" s="70" t="s">
        <v>39</v>
      </c>
      <c r="G136" s="56"/>
      <c r="H136" s="57"/>
      <c r="I136" s="68"/>
    </row>
    <row r="137" spans="1:9" x14ac:dyDescent="0.2">
      <c r="A137" s="70" t="s">
        <v>167</v>
      </c>
      <c r="B137" s="70" t="s">
        <v>220</v>
      </c>
      <c r="C137" s="70" t="s">
        <v>221</v>
      </c>
      <c r="D137" s="70" t="s">
        <v>171</v>
      </c>
      <c r="E137" s="69"/>
      <c r="F137" s="70" t="s">
        <v>39</v>
      </c>
      <c r="G137" s="56"/>
      <c r="H137" s="57"/>
      <c r="I137" s="68"/>
    </row>
    <row r="138" spans="1:9" x14ac:dyDescent="0.2">
      <c r="A138" s="70" t="s">
        <v>167</v>
      </c>
      <c r="B138" s="70" t="s">
        <v>220</v>
      </c>
      <c r="C138" s="70" t="s">
        <v>222</v>
      </c>
      <c r="D138" s="70" t="s">
        <v>170</v>
      </c>
      <c r="E138" s="69"/>
      <c r="F138" s="70" t="s">
        <v>39</v>
      </c>
      <c r="G138" s="56"/>
      <c r="H138" s="57"/>
      <c r="I138" s="68"/>
    </row>
    <row r="139" spans="1:9" x14ac:dyDescent="0.2">
      <c r="A139" s="70" t="s">
        <v>167</v>
      </c>
      <c r="B139" s="70" t="s">
        <v>220</v>
      </c>
      <c r="C139" s="70" t="s">
        <v>222</v>
      </c>
      <c r="D139" s="70" t="s">
        <v>171</v>
      </c>
      <c r="E139" s="69"/>
      <c r="F139" s="70" t="s">
        <v>39</v>
      </c>
      <c r="G139" s="56"/>
      <c r="H139" s="57"/>
      <c r="I139" s="68"/>
    </row>
    <row r="140" spans="1:9" x14ac:dyDescent="0.2">
      <c r="A140" s="70" t="s">
        <v>167</v>
      </c>
      <c r="B140" s="70" t="s">
        <v>220</v>
      </c>
      <c r="C140" s="70" t="s">
        <v>223</v>
      </c>
      <c r="D140" s="70" t="s">
        <v>170</v>
      </c>
      <c r="E140" s="69"/>
      <c r="F140" s="70" t="s">
        <v>39</v>
      </c>
      <c r="G140" s="56"/>
      <c r="H140" s="57"/>
      <c r="I140" s="68"/>
    </row>
    <row r="141" spans="1:9" x14ac:dyDescent="0.2">
      <c r="A141" s="70" t="s">
        <v>167</v>
      </c>
      <c r="B141" s="70" t="s">
        <v>220</v>
      </c>
      <c r="C141" s="70" t="s">
        <v>223</v>
      </c>
      <c r="D141" s="70" t="s">
        <v>171</v>
      </c>
      <c r="E141" s="69"/>
      <c r="F141" s="70" t="s">
        <v>39</v>
      </c>
      <c r="G141" s="56"/>
      <c r="H141" s="57"/>
      <c r="I141" s="68"/>
    </row>
    <row r="142" spans="1:9" x14ac:dyDescent="0.2">
      <c r="A142" s="70" t="s">
        <v>167</v>
      </c>
      <c r="B142" s="70" t="s">
        <v>224</v>
      </c>
      <c r="C142" s="70" t="s">
        <v>169</v>
      </c>
      <c r="D142" s="70" t="s">
        <v>170</v>
      </c>
      <c r="E142" s="69"/>
      <c r="F142" s="70" t="s">
        <v>39</v>
      </c>
      <c r="G142" s="56"/>
      <c r="H142" s="57"/>
      <c r="I142" s="68"/>
    </row>
    <row r="143" spans="1:9" x14ac:dyDescent="0.2">
      <c r="A143" s="70" t="s">
        <v>167</v>
      </c>
      <c r="B143" s="70" t="s">
        <v>224</v>
      </c>
      <c r="C143" s="70" t="s">
        <v>169</v>
      </c>
      <c r="D143" s="70" t="s">
        <v>171</v>
      </c>
      <c r="E143" s="69"/>
      <c r="F143" s="70" t="s">
        <v>39</v>
      </c>
      <c r="G143" s="56"/>
      <c r="H143" s="57"/>
      <c r="I143" s="68"/>
    </row>
    <row r="144" spans="1:9" x14ac:dyDescent="0.2">
      <c r="A144" s="70" t="s">
        <v>167</v>
      </c>
      <c r="B144" s="70" t="s">
        <v>225</v>
      </c>
      <c r="C144" s="70" t="s">
        <v>226</v>
      </c>
      <c r="D144" s="70" t="s">
        <v>170</v>
      </c>
      <c r="E144" s="69"/>
      <c r="F144" s="70" t="s">
        <v>39</v>
      </c>
      <c r="G144" s="56"/>
      <c r="H144" s="57" t="s">
        <v>227</v>
      </c>
      <c r="I144" s="68" t="s">
        <v>30</v>
      </c>
    </row>
    <row r="145" spans="1:9" x14ac:dyDescent="0.2">
      <c r="A145" s="70" t="s">
        <v>167</v>
      </c>
      <c r="B145" s="70" t="s">
        <v>225</v>
      </c>
      <c r="C145" s="70" t="s">
        <v>228</v>
      </c>
      <c r="D145" s="70" t="s">
        <v>170</v>
      </c>
      <c r="E145" s="69"/>
      <c r="F145" s="70" t="s">
        <v>39</v>
      </c>
      <c r="G145" s="56"/>
      <c r="H145" s="57" t="s">
        <v>227</v>
      </c>
      <c r="I145" s="68" t="s">
        <v>30</v>
      </c>
    </row>
    <row r="146" spans="1:9" x14ac:dyDescent="0.2">
      <c r="A146" s="70" t="s">
        <v>167</v>
      </c>
      <c r="B146" s="70" t="s">
        <v>225</v>
      </c>
      <c r="C146" s="70" t="s">
        <v>228</v>
      </c>
      <c r="D146" s="70" t="s">
        <v>171</v>
      </c>
      <c r="E146" s="69"/>
      <c r="F146" s="70" t="s">
        <v>39</v>
      </c>
      <c r="G146" s="56"/>
      <c r="H146" s="57" t="s">
        <v>227</v>
      </c>
      <c r="I146" s="68" t="s">
        <v>30</v>
      </c>
    </row>
    <row r="147" spans="1:9" x14ac:dyDescent="0.2">
      <c r="A147" s="70" t="s">
        <v>167</v>
      </c>
      <c r="B147" s="70" t="s">
        <v>225</v>
      </c>
      <c r="C147" s="70" t="s">
        <v>229</v>
      </c>
      <c r="D147" s="70" t="s">
        <v>170</v>
      </c>
      <c r="E147" s="69"/>
      <c r="F147" s="70" t="s">
        <v>39</v>
      </c>
      <c r="G147" s="56"/>
      <c r="H147" s="57" t="s">
        <v>227</v>
      </c>
      <c r="I147" s="68" t="s">
        <v>30</v>
      </c>
    </row>
    <row r="148" spans="1:9" x14ac:dyDescent="0.2">
      <c r="A148" s="70" t="s">
        <v>167</v>
      </c>
      <c r="B148" s="70" t="s">
        <v>225</v>
      </c>
      <c r="C148" s="70" t="s">
        <v>229</v>
      </c>
      <c r="D148" s="70" t="s">
        <v>171</v>
      </c>
      <c r="E148" s="69"/>
      <c r="F148" s="70" t="s">
        <v>39</v>
      </c>
      <c r="G148" s="56"/>
      <c r="H148" s="57" t="s">
        <v>227</v>
      </c>
      <c r="I148" s="68" t="s">
        <v>30</v>
      </c>
    </row>
    <row r="149" spans="1:9" x14ac:dyDescent="0.2">
      <c r="A149" s="70" t="s">
        <v>167</v>
      </c>
      <c r="B149" s="70" t="s">
        <v>225</v>
      </c>
      <c r="C149" s="70" t="s">
        <v>230</v>
      </c>
      <c r="D149" s="70" t="s">
        <v>170</v>
      </c>
      <c r="E149" s="69"/>
      <c r="F149" s="70" t="s">
        <v>39</v>
      </c>
      <c r="G149" s="56"/>
      <c r="H149" s="57" t="s">
        <v>227</v>
      </c>
      <c r="I149" s="68" t="s">
        <v>30</v>
      </c>
    </row>
    <row r="150" spans="1:9" x14ac:dyDescent="0.2">
      <c r="A150" s="70" t="s">
        <v>167</v>
      </c>
      <c r="B150" s="70" t="s">
        <v>225</v>
      </c>
      <c r="C150" s="70" t="s">
        <v>230</v>
      </c>
      <c r="D150" s="70" t="s">
        <v>171</v>
      </c>
      <c r="E150" s="69"/>
      <c r="F150" s="70" t="s">
        <v>39</v>
      </c>
      <c r="G150" s="56"/>
      <c r="H150" s="57" t="s">
        <v>227</v>
      </c>
      <c r="I150" s="68" t="s">
        <v>30</v>
      </c>
    </row>
    <row r="151" spans="1:9" x14ac:dyDescent="0.2">
      <c r="A151" s="70" t="s">
        <v>167</v>
      </c>
      <c r="B151" s="70" t="s">
        <v>225</v>
      </c>
      <c r="C151" s="70" t="s">
        <v>231</v>
      </c>
      <c r="D151" s="70" t="s">
        <v>170</v>
      </c>
      <c r="E151" s="69"/>
      <c r="F151" s="70" t="s">
        <v>39</v>
      </c>
      <c r="G151" s="56"/>
      <c r="H151" s="57" t="s">
        <v>227</v>
      </c>
      <c r="I151" s="68" t="s">
        <v>30</v>
      </c>
    </row>
    <row r="152" spans="1:9" x14ac:dyDescent="0.2">
      <c r="A152" s="70" t="s">
        <v>167</v>
      </c>
      <c r="B152" s="70" t="s">
        <v>225</v>
      </c>
      <c r="C152" s="70" t="s">
        <v>231</v>
      </c>
      <c r="D152" s="70" t="s">
        <v>171</v>
      </c>
      <c r="E152" s="69"/>
      <c r="F152" s="70" t="s">
        <v>39</v>
      </c>
      <c r="G152" s="56"/>
      <c r="H152" s="57" t="s">
        <v>227</v>
      </c>
      <c r="I152" s="68" t="s">
        <v>30</v>
      </c>
    </row>
    <row r="153" spans="1:9" x14ac:dyDescent="0.2">
      <c r="A153" s="70" t="s">
        <v>167</v>
      </c>
      <c r="B153" s="70" t="s">
        <v>225</v>
      </c>
      <c r="C153" s="70" t="s">
        <v>232</v>
      </c>
      <c r="D153" s="70" t="s">
        <v>170</v>
      </c>
      <c r="E153" s="69"/>
      <c r="F153" s="70" t="s">
        <v>39</v>
      </c>
      <c r="G153" s="56"/>
      <c r="H153" s="57" t="s">
        <v>227</v>
      </c>
      <c r="I153" s="68" t="s">
        <v>30</v>
      </c>
    </row>
    <row r="154" spans="1:9" x14ac:dyDescent="0.2">
      <c r="A154" s="70" t="s">
        <v>167</v>
      </c>
      <c r="B154" s="70" t="s">
        <v>225</v>
      </c>
      <c r="C154" s="70" t="s">
        <v>232</v>
      </c>
      <c r="D154" s="70" t="s">
        <v>171</v>
      </c>
      <c r="E154" s="69"/>
      <c r="F154" s="70" t="s">
        <v>39</v>
      </c>
      <c r="G154" s="56"/>
      <c r="H154" s="57" t="s">
        <v>227</v>
      </c>
      <c r="I154" s="68" t="s">
        <v>30</v>
      </c>
    </row>
    <row r="155" spans="1:9" x14ac:dyDescent="0.2">
      <c r="A155" s="70" t="s">
        <v>167</v>
      </c>
      <c r="B155" s="70" t="s">
        <v>225</v>
      </c>
      <c r="C155" s="70" t="s">
        <v>233</v>
      </c>
      <c r="D155" s="70" t="s">
        <v>170</v>
      </c>
      <c r="E155" s="69"/>
      <c r="F155" s="70" t="s">
        <v>39</v>
      </c>
      <c r="G155" s="56"/>
      <c r="H155" s="57" t="s">
        <v>227</v>
      </c>
      <c r="I155" s="68" t="s">
        <v>30</v>
      </c>
    </row>
    <row r="156" spans="1:9" x14ac:dyDescent="0.2">
      <c r="A156" s="70" t="s">
        <v>167</v>
      </c>
      <c r="B156" s="70" t="s">
        <v>234</v>
      </c>
      <c r="C156" s="70" t="s">
        <v>169</v>
      </c>
      <c r="D156" s="70" t="s">
        <v>170</v>
      </c>
      <c r="E156" s="69"/>
      <c r="F156" s="70" t="s">
        <v>39</v>
      </c>
      <c r="G156" s="56"/>
      <c r="H156" s="57"/>
      <c r="I156" s="68"/>
    </row>
    <row r="157" spans="1:9" x14ac:dyDescent="0.2">
      <c r="A157" s="70" t="s">
        <v>167</v>
      </c>
      <c r="B157" s="70" t="s">
        <v>234</v>
      </c>
      <c r="C157" s="70" t="s">
        <v>169</v>
      </c>
      <c r="D157" s="70" t="s">
        <v>171</v>
      </c>
      <c r="E157" s="69"/>
      <c r="F157" s="70" t="s">
        <v>39</v>
      </c>
      <c r="G157" s="56"/>
      <c r="H157" s="57"/>
      <c r="I157" s="68"/>
    </row>
    <row r="158" spans="1:9" x14ac:dyDescent="0.2">
      <c r="A158" s="70" t="s">
        <v>167</v>
      </c>
      <c r="B158" s="70" t="s">
        <v>235</v>
      </c>
      <c r="C158" s="70" t="s">
        <v>236</v>
      </c>
      <c r="D158" s="70" t="s">
        <v>170</v>
      </c>
      <c r="E158" s="69"/>
      <c r="F158" s="70" t="s">
        <v>39</v>
      </c>
      <c r="G158" s="56"/>
      <c r="H158" s="57" t="s">
        <v>237</v>
      </c>
      <c r="I158" s="68" t="s">
        <v>30</v>
      </c>
    </row>
    <row r="159" spans="1:9" x14ac:dyDescent="0.2">
      <c r="A159" s="70" t="s">
        <v>167</v>
      </c>
      <c r="B159" s="70" t="s">
        <v>235</v>
      </c>
      <c r="C159" s="70" t="s">
        <v>236</v>
      </c>
      <c r="D159" s="70" t="s">
        <v>171</v>
      </c>
      <c r="E159" s="69"/>
      <c r="F159" s="70" t="s">
        <v>39</v>
      </c>
      <c r="G159" s="56"/>
      <c r="H159" s="57" t="s">
        <v>237</v>
      </c>
      <c r="I159" s="68" t="s">
        <v>30</v>
      </c>
    </row>
    <row r="160" spans="1:9" x14ac:dyDescent="0.2">
      <c r="A160" s="70" t="s">
        <v>167</v>
      </c>
      <c r="B160" s="70" t="s">
        <v>235</v>
      </c>
      <c r="C160" s="70" t="s">
        <v>238</v>
      </c>
      <c r="D160" s="70" t="s">
        <v>170</v>
      </c>
      <c r="E160" s="69"/>
      <c r="F160" s="70" t="s">
        <v>39</v>
      </c>
      <c r="G160" s="56"/>
      <c r="H160" s="57" t="s">
        <v>237</v>
      </c>
      <c r="I160" s="68" t="s">
        <v>30</v>
      </c>
    </row>
    <row r="161" spans="1:9" x14ac:dyDescent="0.2">
      <c r="A161" s="70" t="s">
        <v>167</v>
      </c>
      <c r="B161" s="70" t="s">
        <v>235</v>
      </c>
      <c r="C161" s="70" t="s">
        <v>238</v>
      </c>
      <c r="D161" s="70" t="s">
        <v>171</v>
      </c>
      <c r="E161" s="69"/>
      <c r="F161" s="70" t="s">
        <v>39</v>
      </c>
      <c r="G161" s="56"/>
      <c r="H161" s="57" t="s">
        <v>237</v>
      </c>
      <c r="I161" s="68" t="s">
        <v>30</v>
      </c>
    </row>
    <row r="162" spans="1:9" x14ac:dyDescent="0.2">
      <c r="A162" s="70" t="s">
        <v>167</v>
      </c>
      <c r="B162" s="70" t="s">
        <v>235</v>
      </c>
      <c r="C162" s="70" t="s">
        <v>239</v>
      </c>
      <c r="D162" s="70" t="s">
        <v>170</v>
      </c>
      <c r="E162" s="69"/>
      <c r="F162" s="70" t="s">
        <v>39</v>
      </c>
      <c r="G162" s="56"/>
      <c r="H162" s="57" t="s">
        <v>237</v>
      </c>
      <c r="I162" s="68" t="s">
        <v>30</v>
      </c>
    </row>
    <row r="163" spans="1:9" x14ac:dyDescent="0.2">
      <c r="A163" s="70" t="s">
        <v>167</v>
      </c>
      <c r="B163" s="70" t="s">
        <v>235</v>
      </c>
      <c r="C163" s="70" t="s">
        <v>239</v>
      </c>
      <c r="D163" s="70" t="s">
        <v>171</v>
      </c>
      <c r="E163" s="69"/>
      <c r="F163" s="70" t="s">
        <v>39</v>
      </c>
      <c r="G163" s="56"/>
      <c r="H163" s="57" t="s">
        <v>237</v>
      </c>
      <c r="I163" s="68" t="s">
        <v>30</v>
      </c>
    </row>
    <row r="164" spans="1:9" x14ac:dyDescent="0.2">
      <c r="A164" s="70" t="s">
        <v>167</v>
      </c>
      <c r="B164" s="70" t="s">
        <v>235</v>
      </c>
      <c r="C164" s="70" t="s">
        <v>240</v>
      </c>
      <c r="D164" s="70" t="s">
        <v>170</v>
      </c>
      <c r="E164" s="69"/>
      <c r="F164" s="70" t="s">
        <v>39</v>
      </c>
      <c r="G164" s="56"/>
      <c r="H164" s="57" t="s">
        <v>237</v>
      </c>
      <c r="I164" s="68" t="s">
        <v>30</v>
      </c>
    </row>
    <row r="165" spans="1:9" x14ac:dyDescent="0.2">
      <c r="A165" s="70" t="s">
        <v>167</v>
      </c>
      <c r="B165" s="70" t="s">
        <v>235</v>
      </c>
      <c r="C165" s="70" t="s">
        <v>240</v>
      </c>
      <c r="D165" s="70" t="s">
        <v>171</v>
      </c>
      <c r="E165" s="69"/>
      <c r="F165" s="70" t="s">
        <v>39</v>
      </c>
      <c r="G165" s="56"/>
      <c r="H165" s="57" t="s">
        <v>237</v>
      </c>
      <c r="I165" s="68" t="s">
        <v>30</v>
      </c>
    </row>
    <row r="166" spans="1:9" x14ac:dyDescent="0.2">
      <c r="A166" s="70" t="s">
        <v>167</v>
      </c>
      <c r="B166" s="70" t="s">
        <v>235</v>
      </c>
      <c r="C166" s="70" t="s">
        <v>169</v>
      </c>
      <c r="D166" s="70" t="s">
        <v>170</v>
      </c>
      <c r="E166" s="69"/>
      <c r="F166" s="70" t="s">
        <v>39</v>
      </c>
      <c r="G166" s="56"/>
      <c r="H166" s="57" t="s">
        <v>237</v>
      </c>
      <c r="I166" s="68" t="s">
        <v>30</v>
      </c>
    </row>
    <row r="167" spans="1:9" x14ac:dyDescent="0.2">
      <c r="A167" s="70" t="s">
        <v>167</v>
      </c>
      <c r="B167" s="70" t="s">
        <v>235</v>
      </c>
      <c r="C167" s="70" t="s">
        <v>241</v>
      </c>
      <c r="D167" s="70" t="s">
        <v>170</v>
      </c>
      <c r="E167" s="69"/>
      <c r="F167" s="70" t="s">
        <v>39</v>
      </c>
      <c r="G167" s="56"/>
      <c r="H167" s="57" t="s">
        <v>237</v>
      </c>
      <c r="I167" s="68" t="s">
        <v>30</v>
      </c>
    </row>
    <row r="168" spans="1:9" x14ac:dyDescent="0.2">
      <c r="A168" s="70" t="s">
        <v>167</v>
      </c>
      <c r="B168" s="70" t="s">
        <v>235</v>
      </c>
      <c r="C168" s="70" t="s">
        <v>241</v>
      </c>
      <c r="D168" s="70" t="s">
        <v>171</v>
      </c>
      <c r="E168" s="69"/>
      <c r="F168" s="70" t="s">
        <v>39</v>
      </c>
      <c r="G168" s="56"/>
      <c r="H168" s="57" t="s">
        <v>237</v>
      </c>
      <c r="I168" s="68" t="s">
        <v>30</v>
      </c>
    </row>
    <row r="169" spans="1:9" x14ac:dyDescent="0.2">
      <c r="A169" s="70" t="s">
        <v>167</v>
      </c>
      <c r="B169" s="70" t="s">
        <v>235</v>
      </c>
      <c r="C169" s="70" t="s">
        <v>242</v>
      </c>
      <c r="D169" s="70" t="s">
        <v>170</v>
      </c>
      <c r="E169" s="69"/>
      <c r="F169" s="70" t="s">
        <v>39</v>
      </c>
      <c r="G169" s="56"/>
      <c r="H169" s="57" t="s">
        <v>237</v>
      </c>
      <c r="I169" s="68" t="s">
        <v>30</v>
      </c>
    </row>
    <row r="170" spans="1:9" x14ac:dyDescent="0.2">
      <c r="A170" s="70" t="s">
        <v>167</v>
      </c>
      <c r="B170" s="70" t="s">
        <v>235</v>
      </c>
      <c r="C170" s="70" t="s">
        <v>242</v>
      </c>
      <c r="D170" s="70" t="s">
        <v>171</v>
      </c>
      <c r="E170" s="69"/>
      <c r="F170" s="70" t="s">
        <v>39</v>
      </c>
      <c r="G170" s="56"/>
      <c r="H170" s="57" t="s">
        <v>237</v>
      </c>
      <c r="I170" s="68" t="s">
        <v>30</v>
      </c>
    </row>
    <row r="171" spans="1:9" x14ac:dyDescent="0.2">
      <c r="A171" s="70" t="s">
        <v>167</v>
      </c>
      <c r="B171" s="70" t="s">
        <v>235</v>
      </c>
      <c r="C171" s="70" t="s">
        <v>243</v>
      </c>
      <c r="D171" s="70" t="s">
        <v>170</v>
      </c>
      <c r="E171" s="69"/>
      <c r="F171" s="70" t="s">
        <v>39</v>
      </c>
      <c r="G171" s="56"/>
      <c r="H171" s="57" t="s">
        <v>237</v>
      </c>
      <c r="I171" s="68" t="s">
        <v>30</v>
      </c>
    </row>
    <row r="172" spans="1:9" x14ac:dyDescent="0.2">
      <c r="A172" s="70" t="s">
        <v>167</v>
      </c>
      <c r="B172" s="70" t="s">
        <v>244</v>
      </c>
      <c r="C172" s="70" t="s">
        <v>245</v>
      </c>
      <c r="D172" s="70" t="s">
        <v>170</v>
      </c>
      <c r="E172" s="69"/>
      <c r="F172" s="70" t="s">
        <v>39</v>
      </c>
      <c r="G172" s="56"/>
      <c r="H172" s="57"/>
      <c r="I172" s="68"/>
    </row>
    <row r="173" spans="1:9" x14ac:dyDescent="0.2">
      <c r="A173" s="70" t="s">
        <v>167</v>
      </c>
      <c r="B173" s="70" t="s">
        <v>244</v>
      </c>
      <c r="C173" s="70" t="s">
        <v>245</v>
      </c>
      <c r="D173" s="70" t="s">
        <v>171</v>
      </c>
      <c r="E173" s="69"/>
      <c r="F173" s="70" t="s">
        <v>39</v>
      </c>
      <c r="G173" s="56"/>
      <c r="H173" s="57"/>
      <c r="I173" s="68"/>
    </row>
    <row r="174" spans="1:9" x14ac:dyDescent="0.2">
      <c r="A174" s="70" t="s">
        <v>167</v>
      </c>
      <c r="B174" s="70" t="s">
        <v>244</v>
      </c>
      <c r="C174" s="70" t="s">
        <v>246</v>
      </c>
      <c r="D174" s="70" t="s">
        <v>170</v>
      </c>
      <c r="E174" s="69"/>
      <c r="F174" s="70" t="s">
        <v>39</v>
      </c>
      <c r="G174" s="56"/>
      <c r="H174" s="57"/>
      <c r="I174" s="68"/>
    </row>
    <row r="175" spans="1:9" x14ac:dyDescent="0.2">
      <c r="A175" s="70" t="s">
        <v>167</v>
      </c>
      <c r="B175" s="70" t="s">
        <v>244</v>
      </c>
      <c r="C175" s="70" t="s">
        <v>246</v>
      </c>
      <c r="D175" s="70" t="s">
        <v>171</v>
      </c>
      <c r="E175" s="69"/>
      <c r="F175" s="70" t="s">
        <v>39</v>
      </c>
      <c r="G175" s="56"/>
      <c r="H175" s="57"/>
      <c r="I175" s="68"/>
    </row>
    <row r="176" spans="1:9" x14ac:dyDescent="0.2">
      <c r="A176" s="70" t="s">
        <v>167</v>
      </c>
      <c r="B176" s="70" t="s">
        <v>244</v>
      </c>
      <c r="C176" s="70" t="s">
        <v>191</v>
      </c>
      <c r="D176" s="70" t="s">
        <v>170</v>
      </c>
      <c r="E176" s="69"/>
      <c r="F176" s="70" t="s">
        <v>39</v>
      </c>
      <c r="G176" s="56"/>
      <c r="H176" s="57"/>
      <c r="I176" s="68"/>
    </row>
    <row r="177" spans="1:9" x14ac:dyDescent="0.2">
      <c r="A177" s="70" t="s">
        <v>167</v>
      </c>
      <c r="B177" s="70" t="s">
        <v>244</v>
      </c>
      <c r="C177" s="70" t="s">
        <v>191</v>
      </c>
      <c r="D177" s="70" t="s">
        <v>171</v>
      </c>
      <c r="E177" s="69"/>
      <c r="F177" s="70" t="s">
        <v>39</v>
      </c>
      <c r="G177" s="56"/>
      <c r="H177" s="57"/>
      <c r="I177" s="68"/>
    </row>
    <row r="178" spans="1:9" x14ac:dyDescent="0.2">
      <c r="A178" s="70" t="s">
        <v>167</v>
      </c>
      <c r="B178" s="70" t="s">
        <v>244</v>
      </c>
      <c r="C178" s="70" t="s">
        <v>247</v>
      </c>
      <c r="D178" s="70" t="s">
        <v>170</v>
      </c>
      <c r="E178" s="69"/>
      <c r="F178" s="70" t="s">
        <v>39</v>
      </c>
      <c r="G178" s="56"/>
      <c r="H178" s="57"/>
      <c r="I178" s="68"/>
    </row>
    <row r="179" spans="1:9" x14ac:dyDescent="0.2">
      <c r="A179" s="70" t="s">
        <v>167</v>
      </c>
      <c r="B179" s="70" t="s">
        <v>244</v>
      </c>
      <c r="C179" s="70" t="s">
        <v>247</v>
      </c>
      <c r="D179" s="70" t="s">
        <v>171</v>
      </c>
      <c r="E179" s="69"/>
      <c r="F179" s="70" t="s">
        <v>39</v>
      </c>
      <c r="G179" s="56"/>
      <c r="H179" s="57"/>
      <c r="I179" s="68"/>
    </row>
    <row r="180" spans="1:9" x14ac:dyDescent="0.2">
      <c r="A180" s="70" t="s">
        <v>167</v>
      </c>
      <c r="B180" s="70" t="s">
        <v>244</v>
      </c>
      <c r="C180" s="70" t="s">
        <v>248</v>
      </c>
      <c r="D180" s="70" t="s">
        <v>170</v>
      </c>
      <c r="E180" s="69"/>
      <c r="F180" s="70" t="s">
        <v>39</v>
      </c>
      <c r="G180" s="56"/>
      <c r="H180" s="57"/>
      <c r="I180" s="68"/>
    </row>
    <row r="181" spans="1:9" x14ac:dyDescent="0.2">
      <c r="A181" s="70" t="s">
        <v>167</v>
      </c>
      <c r="B181" s="70" t="s">
        <v>244</v>
      </c>
      <c r="C181" s="70" t="s">
        <v>248</v>
      </c>
      <c r="D181" s="70" t="s">
        <v>171</v>
      </c>
      <c r="E181" s="69"/>
      <c r="F181" s="70" t="s">
        <v>39</v>
      </c>
      <c r="G181" s="56"/>
      <c r="H181" s="57"/>
      <c r="I181" s="68"/>
    </row>
    <row r="182" spans="1:9" x14ac:dyDescent="0.2">
      <c r="A182" s="70" t="s">
        <v>167</v>
      </c>
      <c r="B182" s="70" t="s">
        <v>244</v>
      </c>
      <c r="C182" s="70" t="s">
        <v>249</v>
      </c>
      <c r="D182" s="70" t="s">
        <v>170</v>
      </c>
      <c r="E182" s="69"/>
      <c r="F182" s="70" t="s">
        <v>39</v>
      </c>
      <c r="G182" s="56"/>
      <c r="H182" s="57"/>
      <c r="I182" s="68"/>
    </row>
    <row r="183" spans="1:9" x14ac:dyDescent="0.2">
      <c r="A183" s="70" t="s">
        <v>167</v>
      </c>
      <c r="B183" s="70" t="s">
        <v>244</v>
      </c>
      <c r="C183" s="70" t="s">
        <v>249</v>
      </c>
      <c r="D183" s="70" t="s">
        <v>171</v>
      </c>
      <c r="E183" s="69"/>
      <c r="F183" s="70" t="s">
        <v>39</v>
      </c>
      <c r="G183" s="56"/>
      <c r="H183" s="57"/>
      <c r="I183" s="68"/>
    </row>
    <row r="184" spans="1:9" x14ac:dyDescent="0.2">
      <c r="A184" s="70" t="s">
        <v>167</v>
      </c>
      <c r="B184" s="70" t="s">
        <v>244</v>
      </c>
      <c r="C184" s="70" t="s">
        <v>201</v>
      </c>
      <c r="D184" s="70" t="s">
        <v>170</v>
      </c>
      <c r="E184" s="69"/>
      <c r="F184" s="70" t="s">
        <v>39</v>
      </c>
      <c r="G184" s="56"/>
      <c r="H184" s="57"/>
      <c r="I184" s="68"/>
    </row>
    <row r="185" spans="1:9" x14ac:dyDescent="0.2">
      <c r="A185" s="70" t="s">
        <v>167</v>
      </c>
      <c r="B185" s="70" t="s">
        <v>244</v>
      </c>
      <c r="C185" s="70" t="s">
        <v>201</v>
      </c>
      <c r="D185" s="70" t="s">
        <v>171</v>
      </c>
      <c r="E185" s="69"/>
      <c r="F185" s="70" t="s">
        <v>39</v>
      </c>
      <c r="G185" s="56"/>
      <c r="H185" s="57"/>
      <c r="I185" s="68"/>
    </row>
    <row r="186" spans="1:9" x14ac:dyDescent="0.2">
      <c r="A186" s="70" t="s">
        <v>167</v>
      </c>
      <c r="B186" s="70" t="s">
        <v>244</v>
      </c>
      <c r="C186" s="70" t="s">
        <v>250</v>
      </c>
      <c r="D186" s="70" t="s">
        <v>170</v>
      </c>
      <c r="E186" s="69"/>
      <c r="F186" s="70" t="s">
        <v>39</v>
      </c>
      <c r="G186" s="56"/>
      <c r="H186" s="57"/>
      <c r="I186" s="68"/>
    </row>
    <row r="187" spans="1:9" x14ac:dyDescent="0.2">
      <c r="A187" s="70" t="s">
        <v>167</v>
      </c>
      <c r="B187" s="70" t="s">
        <v>244</v>
      </c>
      <c r="C187" s="70" t="s">
        <v>250</v>
      </c>
      <c r="D187" s="70" t="s">
        <v>171</v>
      </c>
      <c r="E187" s="69"/>
      <c r="F187" s="70" t="s">
        <v>39</v>
      </c>
      <c r="G187" s="56"/>
      <c r="H187" s="57"/>
      <c r="I187" s="68"/>
    </row>
    <row r="188" spans="1:9" x14ac:dyDescent="0.2">
      <c r="A188" s="70" t="s">
        <v>167</v>
      </c>
      <c r="B188" s="70" t="s">
        <v>244</v>
      </c>
      <c r="C188" s="70" t="s">
        <v>251</v>
      </c>
      <c r="D188" s="70" t="s">
        <v>170</v>
      </c>
      <c r="E188" s="69"/>
      <c r="F188" s="70" t="s">
        <v>39</v>
      </c>
      <c r="G188" s="56"/>
      <c r="H188" s="57"/>
      <c r="I188" s="68"/>
    </row>
    <row r="189" spans="1:9" x14ac:dyDescent="0.2">
      <c r="A189" s="70" t="s">
        <v>167</v>
      </c>
      <c r="B189" s="70" t="s">
        <v>244</v>
      </c>
      <c r="C189" s="70" t="s">
        <v>251</v>
      </c>
      <c r="D189" s="70" t="s">
        <v>171</v>
      </c>
      <c r="E189" s="69"/>
      <c r="F189" s="70" t="s">
        <v>39</v>
      </c>
      <c r="G189" s="56"/>
      <c r="H189" s="57"/>
      <c r="I189" s="68"/>
    </row>
    <row r="190" spans="1:9" x14ac:dyDescent="0.2">
      <c r="A190" s="70" t="s">
        <v>167</v>
      </c>
      <c r="B190" s="70" t="s">
        <v>244</v>
      </c>
      <c r="C190" s="70" t="s">
        <v>252</v>
      </c>
      <c r="D190" s="70" t="s">
        <v>170</v>
      </c>
      <c r="E190" s="69"/>
      <c r="F190" s="70" t="s">
        <v>39</v>
      </c>
      <c r="G190" s="56"/>
      <c r="H190" s="57"/>
      <c r="I190" s="68"/>
    </row>
    <row r="191" spans="1:9" x14ac:dyDescent="0.2">
      <c r="A191" s="70" t="s">
        <v>167</v>
      </c>
      <c r="B191" s="70" t="s">
        <v>244</v>
      </c>
      <c r="C191" s="70" t="s">
        <v>252</v>
      </c>
      <c r="D191" s="70" t="s">
        <v>171</v>
      </c>
      <c r="E191" s="69"/>
      <c r="F191" s="70" t="s">
        <v>39</v>
      </c>
      <c r="G191" s="56"/>
      <c r="H191" s="57"/>
      <c r="I191" s="68"/>
    </row>
    <row r="192" spans="1:9" x14ac:dyDescent="0.2">
      <c r="A192" s="70" t="s">
        <v>167</v>
      </c>
      <c r="B192" s="70" t="s">
        <v>244</v>
      </c>
      <c r="C192" s="70" t="s">
        <v>253</v>
      </c>
      <c r="D192" s="70" t="s">
        <v>170</v>
      </c>
      <c r="E192" s="69"/>
      <c r="F192" s="70" t="s">
        <v>39</v>
      </c>
      <c r="G192" s="56"/>
      <c r="H192" s="57"/>
      <c r="I192" s="68"/>
    </row>
    <row r="193" spans="1:12" x14ac:dyDescent="0.2">
      <c r="A193" s="70" t="s">
        <v>167</v>
      </c>
      <c r="B193" s="70" t="s">
        <v>244</v>
      </c>
      <c r="C193" s="70" t="s">
        <v>253</v>
      </c>
      <c r="D193" s="70" t="s">
        <v>171</v>
      </c>
      <c r="E193" s="69"/>
      <c r="F193" s="70" t="s">
        <v>39</v>
      </c>
      <c r="G193" s="56"/>
      <c r="H193" s="57"/>
      <c r="I193" s="68"/>
    </row>
    <row r="194" spans="1:12" x14ac:dyDescent="0.2">
      <c r="A194" s="70" t="s">
        <v>167</v>
      </c>
      <c r="B194" s="70" t="s">
        <v>244</v>
      </c>
      <c r="C194" s="70" t="s">
        <v>254</v>
      </c>
      <c r="D194" s="70" t="s">
        <v>170</v>
      </c>
      <c r="E194" s="69"/>
      <c r="F194" s="70" t="s">
        <v>39</v>
      </c>
      <c r="G194" s="56"/>
      <c r="H194" s="57"/>
      <c r="I194" s="68"/>
    </row>
    <row r="195" spans="1:12" x14ac:dyDescent="0.2">
      <c r="A195" s="70" t="s">
        <v>167</v>
      </c>
      <c r="B195" s="70" t="s">
        <v>244</v>
      </c>
      <c r="C195" s="70" t="s">
        <v>254</v>
      </c>
      <c r="D195" s="70" t="s">
        <v>171</v>
      </c>
      <c r="E195" s="69"/>
      <c r="F195" s="70" t="s">
        <v>39</v>
      </c>
      <c r="G195" s="56"/>
      <c r="H195" s="57"/>
      <c r="I195" s="68"/>
    </row>
    <row r="196" spans="1:12" x14ac:dyDescent="0.2">
      <c r="A196" s="70" t="s">
        <v>167</v>
      </c>
      <c r="B196" s="70" t="s">
        <v>244</v>
      </c>
      <c r="C196" s="70" t="s">
        <v>255</v>
      </c>
      <c r="D196" s="70" t="s">
        <v>170</v>
      </c>
      <c r="E196" s="69"/>
      <c r="F196" s="70" t="s">
        <v>39</v>
      </c>
      <c r="G196" s="56"/>
      <c r="H196" s="57"/>
      <c r="I196" s="68"/>
    </row>
    <row r="197" spans="1:12" x14ac:dyDescent="0.2">
      <c r="A197" s="70" t="s">
        <v>167</v>
      </c>
      <c r="B197" s="70" t="s">
        <v>244</v>
      </c>
      <c r="C197" s="70" t="s">
        <v>255</v>
      </c>
      <c r="D197" s="70" t="s">
        <v>171</v>
      </c>
      <c r="E197" s="69"/>
      <c r="F197" s="70" t="s">
        <v>39</v>
      </c>
      <c r="G197" s="56"/>
      <c r="H197" s="57"/>
      <c r="I197" s="68"/>
    </row>
    <row r="198" spans="1:12" x14ac:dyDescent="0.2">
      <c r="A198" s="70" t="s">
        <v>167</v>
      </c>
      <c r="B198" s="70" t="s">
        <v>244</v>
      </c>
      <c r="C198" s="70" t="s">
        <v>256</v>
      </c>
      <c r="D198" s="70" t="s">
        <v>170</v>
      </c>
      <c r="E198" s="69"/>
      <c r="F198" s="70" t="s">
        <v>39</v>
      </c>
      <c r="G198" s="56"/>
      <c r="H198" s="57"/>
      <c r="I198" s="68"/>
      <c r="K198" s="2"/>
      <c r="L198" s="2"/>
    </row>
    <row r="199" spans="1:12" x14ac:dyDescent="0.2">
      <c r="A199" s="70" t="s">
        <v>167</v>
      </c>
      <c r="B199" s="70" t="s">
        <v>244</v>
      </c>
      <c r="C199" s="70" t="s">
        <v>256</v>
      </c>
      <c r="D199" s="70" t="s">
        <v>171</v>
      </c>
      <c r="E199" s="69"/>
      <c r="F199" s="70" t="s">
        <v>39</v>
      </c>
      <c r="G199" s="56"/>
      <c r="H199" s="57"/>
      <c r="I199" s="68"/>
    </row>
    <row r="200" spans="1:12" x14ac:dyDescent="0.2">
      <c r="A200" s="70" t="s">
        <v>167</v>
      </c>
      <c r="B200" s="70" t="s">
        <v>257</v>
      </c>
      <c r="C200" s="70" t="s">
        <v>258</v>
      </c>
      <c r="D200" s="70" t="s">
        <v>170</v>
      </c>
      <c r="E200" s="69"/>
      <c r="F200" s="70" t="s">
        <v>39</v>
      </c>
      <c r="G200" s="56"/>
      <c r="H200" s="57" t="s">
        <v>259</v>
      </c>
      <c r="I200" s="68" t="s">
        <v>30</v>
      </c>
    </row>
    <row r="201" spans="1:12" x14ac:dyDescent="0.2">
      <c r="A201" s="70" t="s">
        <v>167</v>
      </c>
      <c r="B201" s="70" t="s">
        <v>257</v>
      </c>
      <c r="C201" s="70" t="s">
        <v>258</v>
      </c>
      <c r="D201" s="70" t="s">
        <v>171</v>
      </c>
      <c r="E201" s="69"/>
      <c r="F201" s="70" t="s">
        <v>39</v>
      </c>
      <c r="G201" s="56"/>
      <c r="H201" s="57" t="s">
        <v>259</v>
      </c>
      <c r="I201" s="68" t="s">
        <v>30</v>
      </c>
    </row>
    <row r="202" spans="1:12" x14ac:dyDescent="0.2">
      <c r="A202" s="70" t="s">
        <v>167</v>
      </c>
      <c r="B202" s="70" t="s">
        <v>257</v>
      </c>
      <c r="C202" s="70" t="s">
        <v>260</v>
      </c>
      <c r="D202" s="70" t="s">
        <v>170</v>
      </c>
      <c r="E202" s="69"/>
      <c r="F202" s="70" t="s">
        <v>39</v>
      </c>
      <c r="G202" s="56"/>
      <c r="H202" s="57" t="s">
        <v>259</v>
      </c>
      <c r="I202" s="68" t="s">
        <v>30</v>
      </c>
    </row>
    <row r="203" spans="1:12" x14ac:dyDescent="0.2">
      <c r="A203" s="70" t="s">
        <v>167</v>
      </c>
      <c r="B203" s="70" t="s">
        <v>257</v>
      </c>
      <c r="C203" s="70" t="s">
        <v>261</v>
      </c>
      <c r="D203" s="70" t="s">
        <v>170</v>
      </c>
      <c r="E203" s="69"/>
      <c r="F203" s="70" t="s">
        <v>39</v>
      </c>
      <c r="G203" s="56"/>
      <c r="H203" s="57" t="s">
        <v>259</v>
      </c>
      <c r="I203" s="68" t="s">
        <v>30</v>
      </c>
    </row>
    <row r="204" spans="1:12" x14ac:dyDescent="0.2">
      <c r="A204" s="70" t="s">
        <v>167</v>
      </c>
      <c r="B204" s="70" t="s">
        <v>257</v>
      </c>
      <c r="C204" s="70" t="s">
        <v>261</v>
      </c>
      <c r="D204" s="70" t="s">
        <v>171</v>
      </c>
      <c r="E204" s="69"/>
      <c r="F204" s="70" t="s">
        <v>39</v>
      </c>
      <c r="G204" s="56"/>
      <c r="H204" s="57" t="s">
        <v>259</v>
      </c>
      <c r="I204" s="68" t="s">
        <v>30</v>
      </c>
    </row>
    <row r="205" spans="1:12" x14ac:dyDescent="0.2">
      <c r="A205" s="70" t="s">
        <v>167</v>
      </c>
      <c r="B205" s="70" t="s">
        <v>257</v>
      </c>
      <c r="C205" s="70" t="s">
        <v>262</v>
      </c>
      <c r="D205" s="70" t="s">
        <v>170</v>
      </c>
      <c r="E205" s="69"/>
      <c r="F205" s="70" t="s">
        <v>39</v>
      </c>
      <c r="G205" s="56"/>
      <c r="H205" s="57" t="s">
        <v>259</v>
      </c>
      <c r="I205" s="68" t="s">
        <v>30</v>
      </c>
    </row>
    <row r="206" spans="1:12" x14ac:dyDescent="0.2">
      <c r="A206" s="70" t="s">
        <v>167</v>
      </c>
      <c r="B206" s="70" t="s">
        <v>257</v>
      </c>
      <c r="C206" s="70" t="s">
        <v>262</v>
      </c>
      <c r="D206" s="70" t="s">
        <v>171</v>
      </c>
      <c r="E206" s="69"/>
      <c r="F206" s="70" t="s">
        <v>39</v>
      </c>
      <c r="G206" s="56"/>
      <c r="H206" s="57" t="s">
        <v>259</v>
      </c>
      <c r="I206" s="68" t="s">
        <v>30</v>
      </c>
    </row>
    <row r="207" spans="1:12" x14ac:dyDescent="0.2">
      <c r="A207" s="70" t="s">
        <v>167</v>
      </c>
      <c r="B207" s="70" t="s">
        <v>263</v>
      </c>
      <c r="C207" s="70" t="s">
        <v>264</v>
      </c>
      <c r="D207" s="70" t="s">
        <v>170</v>
      </c>
      <c r="E207" s="69"/>
      <c r="F207" s="70" t="s">
        <v>39</v>
      </c>
      <c r="G207" s="56"/>
      <c r="H207" s="57" t="s">
        <v>265</v>
      </c>
      <c r="I207" s="68" t="s">
        <v>30</v>
      </c>
    </row>
    <row r="208" spans="1:12" x14ac:dyDescent="0.2">
      <c r="A208" s="70" t="s">
        <v>167</v>
      </c>
      <c r="B208" s="70" t="s">
        <v>263</v>
      </c>
      <c r="C208" s="70" t="s">
        <v>264</v>
      </c>
      <c r="D208" s="70" t="s">
        <v>171</v>
      </c>
      <c r="E208" s="69"/>
      <c r="F208" s="70" t="s">
        <v>39</v>
      </c>
      <c r="G208" s="56"/>
      <c r="H208" s="57" t="s">
        <v>265</v>
      </c>
      <c r="I208" s="68" t="s">
        <v>30</v>
      </c>
    </row>
    <row r="209" spans="1:9" x14ac:dyDescent="0.2">
      <c r="A209" s="70" t="s">
        <v>167</v>
      </c>
      <c r="B209" s="70" t="s">
        <v>263</v>
      </c>
      <c r="C209" s="70" t="s">
        <v>266</v>
      </c>
      <c r="D209" s="70" t="s">
        <v>170</v>
      </c>
      <c r="E209" s="69"/>
      <c r="F209" s="70" t="s">
        <v>39</v>
      </c>
      <c r="G209" s="56"/>
      <c r="H209" s="57" t="s">
        <v>265</v>
      </c>
      <c r="I209" s="68" t="s">
        <v>30</v>
      </c>
    </row>
    <row r="210" spans="1:9" x14ac:dyDescent="0.2">
      <c r="A210" s="70" t="s">
        <v>167</v>
      </c>
      <c r="B210" s="70" t="s">
        <v>263</v>
      </c>
      <c r="C210" s="70" t="s">
        <v>266</v>
      </c>
      <c r="D210" s="70" t="s">
        <v>171</v>
      </c>
      <c r="E210" s="69"/>
      <c r="F210" s="70" t="s">
        <v>39</v>
      </c>
      <c r="G210" s="56"/>
      <c r="H210" s="57" t="s">
        <v>265</v>
      </c>
      <c r="I210" s="68" t="s">
        <v>30</v>
      </c>
    </row>
    <row r="211" spans="1:9" x14ac:dyDescent="0.2">
      <c r="A211" s="70" t="s">
        <v>167</v>
      </c>
      <c r="B211" s="70" t="s">
        <v>263</v>
      </c>
      <c r="C211" s="70" t="s">
        <v>267</v>
      </c>
      <c r="D211" s="70" t="s">
        <v>170</v>
      </c>
      <c r="E211" s="69"/>
      <c r="F211" s="70" t="s">
        <v>39</v>
      </c>
      <c r="G211" s="56"/>
      <c r="H211" s="57" t="s">
        <v>265</v>
      </c>
      <c r="I211" s="68" t="s">
        <v>30</v>
      </c>
    </row>
    <row r="212" spans="1:9" x14ac:dyDescent="0.2">
      <c r="A212" s="70" t="s">
        <v>167</v>
      </c>
      <c r="B212" s="70" t="s">
        <v>263</v>
      </c>
      <c r="C212" s="70" t="s">
        <v>267</v>
      </c>
      <c r="D212" s="70" t="s">
        <v>171</v>
      </c>
      <c r="E212" s="69"/>
      <c r="F212" s="70" t="s">
        <v>39</v>
      </c>
      <c r="G212" s="56"/>
      <c r="H212" s="57" t="s">
        <v>265</v>
      </c>
      <c r="I212" s="68" t="s">
        <v>30</v>
      </c>
    </row>
    <row r="213" spans="1:9" x14ac:dyDescent="0.2">
      <c r="A213" s="70" t="s">
        <v>167</v>
      </c>
      <c r="B213" s="70" t="s">
        <v>250</v>
      </c>
      <c r="C213" s="70" t="s">
        <v>169</v>
      </c>
      <c r="D213" s="70" t="s">
        <v>170</v>
      </c>
      <c r="E213" s="69"/>
      <c r="F213" s="70" t="s">
        <v>39</v>
      </c>
      <c r="G213" s="56"/>
      <c r="H213" s="57" t="s">
        <v>268</v>
      </c>
      <c r="I213" s="68" t="s">
        <v>30</v>
      </c>
    </row>
    <row r="214" spans="1:9" x14ac:dyDescent="0.2">
      <c r="A214" s="70" t="s">
        <v>167</v>
      </c>
      <c r="B214" s="70" t="s">
        <v>250</v>
      </c>
      <c r="C214" s="70" t="s">
        <v>169</v>
      </c>
      <c r="D214" s="70" t="s">
        <v>171</v>
      </c>
      <c r="E214" s="69"/>
      <c r="F214" s="70" t="s">
        <v>39</v>
      </c>
      <c r="G214" s="56"/>
      <c r="H214" s="57" t="s">
        <v>268</v>
      </c>
      <c r="I214" s="68" t="s">
        <v>30</v>
      </c>
    </row>
    <row r="215" spans="1:9" x14ac:dyDescent="0.2">
      <c r="A215" s="70" t="s">
        <v>167</v>
      </c>
      <c r="B215" s="70" t="s">
        <v>269</v>
      </c>
      <c r="C215" s="70" t="s">
        <v>169</v>
      </c>
      <c r="D215" s="70" t="s">
        <v>170</v>
      </c>
      <c r="E215" s="69"/>
      <c r="F215" s="70" t="s">
        <v>39</v>
      </c>
      <c r="G215" s="56"/>
      <c r="H215" s="57"/>
      <c r="I215" s="68"/>
    </row>
    <row r="216" spans="1:9" x14ac:dyDescent="0.2">
      <c r="A216" s="70" t="s">
        <v>167</v>
      </c>
      <c r="B216" s="70" t="s">
        <v>269</v>
      </c>
      <c r="C216" s="70" t="s">
        <v>169</v>
      </c>
      <c r="D216" s="70" t="s">
        <v>171</v>
      </c>
      <c r="E216" s="69"/>
      <c r="F216" s="70" t="s">
        <v>39</v>
      </c>
      <c r="G216" s="56"/>
      <c r="H216" s="57"/>
      <c r="I216" s="68"/>
    </row>
    <row r="217" spans="1:9" x14ac:dyDescent="0.2">
      <c r="A217" s="70" t="s">
        <v>167</v>
      </c>
      <c r="B217" s="70" t="s">
        <v>270</v>
      </c>
      <c r="C217" s="70" t="s">
        <v>271</v>
      </c>
      <c r="D217" s="70" t="s">
        <v>170</v>
      </c>
      <c r="E217" s="69"/>
      <c r="F217" s="70" t="s">
        <v>39</v>
      </c>
      <c r="G217" s="56"/>
      <c r="H217" s="57"/>
      <c r="I217" s="68"/>
    </row>
    <row r="218" spans="1:9" x14ac:dyDescent="0.2">
      <c r="A218" s="70" t="s">
        <v>167</v>
      </c>
      <c r="B218" s="70" t="s">
        <v>270</v>
      </c>
      <c r="C218" s="70" t="s">
        <v>271</v>
      </c>
      <c r="D218" s="70" t="s">
        <v>171</v>
      </c>
      <c r="E218" s="69"/>
      <c r="F218" s="70" t="s">
        <v>39</v>
      </c>
      <c r="G218" s="56"/>
      <c r="H218" s="57"/>
      <c r="I218" s="68"/>
    </row>
    <row r="219" spans="1:9" x14ac:dyDescent="0.2">
      <c r="A219" s="70" t="s">
        <v>167</v>
      </c>
      <c r="B219" s="70" t="s">
        <v>270</v>
      </c>
      <c r="C219" s="70" t="s">
        <v>272</v>
      </c>
      <c r="D219" s="70" t="s">
        <v>170</v>
      </c>
      <c r="E219" s="69"/>
      <c r="F219" s="70" t="s">
        <v>39</v>
      </c>
      <c r="G219" s="56"/>
      <c r="H219" s="57"/>
      <c r="I219" s="68"/>
    </row>
    <row r="220" spans="1:9" x14ac:dyDescent="0.2">
      <c r="A220" s="70" t="s">
        <v>167</v>
      </c>
      <c r="B220" s="70" t="s">
        <v>270</v>
      </c>
      <c r="C220" s="70" t="s">
        <v>272</v>
      </c>
      <c r="D220" s="70" t="s">
        <v>171</v>
      </c>
      <c r="E220" s="69"/>
      <c r="F220" s="70" t="s">
        <v>39</v>
      </c>
      <c r="G220" s="56"/>
      <c r="H220" s="57"/>
      <c r="I220" s="68"/>
    </row>
    <row r="221" spans="1:9" x14ac:dyDescent="0.2">
      <c r="A221" s="70" t="s">
        <v>167</v>
      </c>
      <c r="B221" s="70" t="s">
        <v>270</v>
      </c>
      <c r="C221" s="70" t="s">
        <v>273</v>
      </c>
      <c r="D221" s="70" t="s">
        <v>170</v>
      </c>
      <c r="E221" s="69"/>
      <c r="F221" s="70" t="s">
        <v>39</v>
      </c>
      <c r="G221" s="56"/>
      <c r="H221" s="57"/>
      <c r="I221" s="68"/>
    </row>
    <row r="222" spans="1:9" x14ac:dyDescent="0.2">
      <c r="A222" s="70" t="s">
        <v>167</v>
      </c>
      <c r="B222" s="70" t="s">
        <v>270</v>
      </c>
      <c r="C222" s="70" t="s">
        <v>273</v>
      </c>
      <c r="D222" s="70" t="s">
        <v>171</v>
      </c>
      <c r="E222" s="69"/>
      <c r="F222" s="70" t="s">
        <v>39</v>
      </c>
      <c r="G222" s="56"/>
      <c r="H222" s="57"/>
      <c r="I222" s="68"/>
    </row>
    <row r="223" spans="1:9" x14ac:dyDescent="0.2">
      <c r="A223" s="70" t="s">
        <v>167</v>
      </c>
      <c r="B223" s="70" t="s">
        <v>270</v>
      </c>
      <c r="C223" s="70" t="s">
        <v>274</v>
      </c>
      <c r="D223" s="70" t="s">
        <v>170</v>
      </c>
      <c r="E223" s="69"/>
      <c r="F223" s="70" t="s">
        <v>39</v>
      </c>
      <c r="G223" s="56"/>
      <c r="H223" s="57"/>
      <c r="I223" s="68"/>
    </row>
    <row r="224" spans="1:9" x14ac:dyDescent="0.2">
      <c r="A224" s="70" t="s">
        <v>167</v>
      </c>
      <c r="B224" s="70" t="s">
        <v>270</v>
      </c>
      <c r="C224" s="70" t="s">
        <v>274</v>
      </c>
      <c r="D224" s="70" t="s">
        <v>171</v>
      </c>
      <c r="E224" s="69"/>
      <c r="F224" s="70" t="s">
        <v>39</v>
      </c>
      <c r="G224" s="56"/>
      <c r="H224" s="57"/>
      <c r="I224" s="68"/>
    </row>
    <row r="225" spans="1:9" x14ac:dyDescent="0.2">
      <c r="A225" s="70" t="s">
        <v>275</v>
      </c>
      <c r="B225" s="70" t="s">
        <v>276</v>
      </c>
      <c r="C225" s="69"/>
      <c r="D225" s="69"/>
      <c r="E225" s="69"/>
      <c r="F225" s="70" t="s">
        <v>39</v>
      </c>
      <c r="G225" s="56"/>
      <c r="H225" s="57" t="s">
        <v>277</v>
      </c>
      <c r="I225" s="68" t="s">
        <v>30</v>
      </c>
    </row>
    <row r="226" spans="1:9" x14ac:dyDescent="0.2">
      <c r="A226" s="70" t="s">
        <v>275</v>
      </c>
      <c r="B226" s="70" t="s">
        <v>278</v>
      </c>
      <c r="C226" s="70"/>
      <c r="D226" s="70"/>
      <c r="E226" s="69"/>
      <c r="F226" s="70" t="s">
        <v>39</v>
      </c>
      <c r="G226" s="56"/>
      <c r="H226" s="57" t="s">
        <v>277</v>
      </c>
      <c r="I226" s="68" t="s">
        <v>30</v>
      </c>
    </row>
    <row r="227" spans="1:9" x14ac:dyDescent="0.2">
      <c r="A227" s="70" t="s">
        <v>279</v>
      </c>
      <c r="B227" s="70" t="s">
        <v>280</v>
      </c>
      <c r="C227" s="70" t="s">
        <v>281</v>
      </c>
      <c r="D227" s="70" t="s">
        <v>282</v>
      </c>
      <c r="E227" s="69"/>
      <c r="F227" s="70" t="s">
        <v>187</v>
      </c>
      <c r="G227" s="56"/>
      <c r="H227" s="57"/>
      <c r="I227" s="68"/>
    </row>
    <row r="228" spans="1:9" x14ac:dyDescent="0.2">
      <c r="A228" s="70" t="s">
        <v>279</v>
      </c>
      <c r="B228" s="70" t="s">
        <v>280</v>
      </c>
      <c r="C228" s="70" t="s">
        <v>281</v>
      </c>
      <c r="D228" s="70" t="s">
        <v>283</v>
      </c>
      <c r="E228" s="69"/>
      <c r="F228" s="70" t="s">
        <v>187</v>
      </c>
      <c r="G228" s="56"/>
      <c r="H228" s="57"/>
      <c r="I228" s="68"/>
    </row>
    <row r="229" spans="1:9" x14ac:dyDescent="0.2">
      <c r="A229" s="70" t="s">
        <v>279</v>
      </c>
      <c r="B229" s="70" t="s">
        <v>280</v>
      </c>
      <c r="C229" s="70" t="s">
        <v>281</v>
      </c>
      <c r="D229" s="70" t="s">
        <v>284</v>
      </c>
      <c r="E229" s="69"/>
      <c r="F229" s="70" t="s">
        <v>187</v>
      </c>
      <c r="G229" s="56"/>
      <c r="H229" s="57"/>
      <c r="I229" s="68"/>
    </row>
    <row r="230" spans="1:9" x14ac:dyDescent="0.2">
      <c r="A230" s="70" t="s">
        <v>279</v>
      </c>
      <c r="B230" s="70" t="s">
        <v>280</v>
      </c>
      <c r="C230" s="70" t="s">
        <v>281</v>
      </c>
      <c r="D230" s="70" t="s">
        <v>285</v>
      </c>
      <c r="E230" s="69"/>
      <c r="F230" s="70" t="s">
        <v>187</v>
      </c>
      <c r="G230" s="56"/>
      <c r="H230" s="57"/>
      <c r="I230" s="68"/>
    </row>
    <row r="231" spans="1:9" x14ac:dyDescent="0.2">
      <c r="A231" s="70" t="s">
        <v>279</v>
      </c>
      <c r="B231" s="70" t="s">
        <v>280</v>
      </c>
      <c r="C231" s="70" t="s">
        <v>281</v>
      </c>
      <c r="D231" s="70" t="s">
        <v>286</v>
      </c>
      <c r="E231" s="69"/>
      <c r="F231" s="70" t="s">
        <v>187</v>
      </c>
      <c r="G231" s="56"/>
      <c r="H231" s="57"/>
      <c r="I231" s="68"/>
    </row>
    <row r="232" spans="1:9" x14ac:dyDescent="0.2">
      <c r="A232" s="70" t="s">
        <v>279</v>
      </c>
      <c r="B232" s="70" t="s">
        <v>280</v>
      </c>
      <c r="C232" s="70" t="s">
        <v>281</v>
      </c>
      <c r="D232" s="70" t="s">
        <v>287</v>
      </c>
      <c r="E232" s="69"/>
      <c r="F232" s="70" t="s">
        <v>187</v>
      </c>
      <c r="G232" s="56"/>
      <c r="H232" s="57"/>
      <c r="I232" s="68"/>
    </row>
    <row r="233" spans="1:9" x14ac:dyDescent="0.2">
      <c r="A233" s="70" t="s">
        <v>279</v>
      </c>
      <c r="B233" s="70" t="s">
        <v>280</v>
      </c>
      <c r="C233" s="70" t="s">
        <v>281</v>
      </c>
      <c r="D233" s="70" t="s">
        <v>170</v>
      </c>
      <c r="E233" s="69"/>
      <c r="F233" s="70" t="s">
        <v>187</v>
      </c>
      <c r="G233" s="56"/>
      <c r="H233" s="57"/>
      <c r="I233" s="68"/>
    </row>
    <row r="234" spans="1:9" x14ac:dyDescent="0.2">
      <c r="A234" s="70" t="s">
        <v>279</v>
      </c>
      <c r="B234" s="70" t="s">
        <v>280</v>
      </c>
      <c r="C234" s="70" t="s">
        <v>281</v>
      </c>
      <c r="D234" s="70" t="s">
        <v>171</v>
      </c>
      <c r="E234" s="69"/>
      <c r="F234" s="70" t="s">
        <v>187</v>
      </c>
      <c r="G234" s="56"/>
      <c r="H234" s="57"/>
      <c r="I234" s="68"/>
    </row>
    <row r="235" spans="1:9" x14ac:dyDescent="0.2">
      <c r="A235" s="70" t="s">
        <v>279</v>
      </c>
      <c r="B235" s="70" t="s">
        <v>288</v>
      </c>
      <c r="C235" s="70" t="s">
        <v>289</v>
      </c>
      <c r="D235" s="70" t="s">
        <v>170</v>
      </c>
      <c r="E235" s="69"/>
      <c r="F235" s="70" t="s">
        <v>187</v>
      </c>
      <c r="G235" s="56"/>
      <c r="H235" s="57"/>
      <c r="I235" s="68"/>
    </row>
    <row r="236" spans="1:9" x14ac:dyDescent="0.2">
      <c r="A236" s="70" t="s">
        <v>279</v>
      </c>
      <c r="B236" s="70" t="s">
        <v>288</v>
      </c>
      <c r="C236" s="70" t="s">
        <v>290</v>
      </c>
      <c r="D236" s="70" t="s">
        <v>170</v>
      </c>
      <c r="E236" s="69"/>
      <c r="F236" s="70" t="s">
        <v>187</v>
      </c>
      <c r="G236" s="56"/>
      <c r="H236" s="57"/>
      <c r="I236" s="68"/>
    </row>
    <row r="237" spans="1:9" x14ac:dyDescent="0.2">
      <c r="A237" s="70" t="s">
        <v>279</v>
      </c>
      <c r="B237" s="70" t="s">
        <v>288</v>
      </c>
      <c r="C237" s="70" t="s">
        <v>290</v>
      </c>
      <c r="D237" s="70" t="s">
        <v>171</v>
      </c>
      <c r="E237" s="69"/>
      <c r="F237" s="70" t="s">
        <v>187</v>
      </c>
      <c r="G237" s="56"/>
      <c r="H237" s="57"/>
      <c r="I237" s="68"/>
    </row>
    <row r="238" spans="1:9" x14ac:dyDescent="0.2">
      <c r="A238" s="70" t="s">
        <v>279</v>
      </c>
      <c r="B238" s="70" t="s">
        <v>288</v>
      </c>
      <c r="C238" s="70" t="s">
        <v>291</v>
      </c>
      <c r="D238" s="70" t="s">
        <v>170</v>
      </c>
      <c r="E238" s="69"/>
      <c r="F238" s="70" t="s">
        <v>187</v>
      </c>
      <c r="G238" s="56"/>
      <c r="H238" s="57"/>
      <c r="I238" s="68"/>
    </row>
    <row r="239" spans="1:9" x14ac:dyDescent="0.2">
      <c r="A239" s="70" t="s">
        <v>279</v>
      </c>
      <c r="B239" s="70" t="s">
        <v>288</v>
      </c>
      <c r="C239" s="70" t="s">
        <v>291</v>
      </c>
      <c r="D239" s="70" t="s">
        <v>171</v>
      </c>
      <c r="E239" s="69"/>
      <c r="F239" s="70" t="s">
        <v>187</v>
      </c>
      <c r="G239" s="56"/>
      <c r="H239" s="57"/>
      <c r="I239" s="68"/>
    </row>
    <row r="240" spans="1:9" x14ac:dyDescent="0.2">
      <c r="A240" s="70" t="s">
        <v>279</v>
      </c>
      <c r="B240" s="70" t="s">
        <v>288</v>
      </c>
      <c r="C240" s="70" t="s">
        <v>169</v>
      </c>
      <c r="D240" s="70" t="s">
        <v>170</v>
      </c>
      <c r="E240" s="69"/>
      <c r="F240" s="70" t="s">
        <v>187</v>
      </c>
      <c r="G240" s="56"/>
      <c r="H240" s="57"/>
      <c r="I240" s="68"/>
    </row>
    <row r="241" spans="1:9" x14ac:dyDescent="0.2">
      <c r="A241" s="70" t="s">
        <v>279</v>
      </c>
      <c r="B241" s="70" t="s">
        <v>292</v>
      </c>
      <c r="C241" s="70" t="s">
        <v>293</v>
      </c>
      <c r="D241" s="70" t="s">
        <v>170</v>
      </c>
      <c r="E241" s="69"/>
      <c r="F241" s="70" t="s">
        <v>187</v>
      </c>
      <c r="G241" s="56"/>
      <c r="H241" s="57"/>
      <c r="I241" s="68"/>
    </row>
    <row r="242" spans="1:9" x14ac:dyDescent="0.2">
      <c r="A242" s="70" t="s">
        <v>279</v>
      </c>
      <c r="B242" s="70" t="s">
        <v>292</v>
      </c>
      <c r="C242" s="70" t="s">
        <v>293</v>
      </c>
      <c r="D242" s="70" t="s">
        <v>171</v>
      </c>
      <c r="E242" s="69"/>
      <c r="F242" s="70" t="s">
        <v>187</v>
      </c>
      <c r="G242" s="56"/>
      <c r="H242" s="57"/>
      <c r="I242" s="68"/>
    </row>
    <row r="243" spans="1:9" x14ac:dyDescent="0.2">
      <c r="A243" s="70" t="s">
        <v>279</v>
      </c>
      <c r="B243" s="70" t="s">
        <v>292</v>
      </c>
      <c r="C243" s="70" t="s">
        <v>169</v>
      </c>
      <c r="D243" s="70" t="s">
        <v>170</v>
      </c>
      <c r="E243" s="69"/>
      <c r="F243" s="70" t="s">
        <v>187</v>
      </c>
      <c r="G243" s="56"/>
      <c r="H243" s="57"/>
      <c r="I243" s="68"/>
    </row>
    <row r="244" spans="1:9" x14ac:dyDescent="0.2">
      <c r="A244" s="70" t="s">
        <v>279</v>
      </c>
      <c r="B244" s="70" t="s">
        <v>294</v>
      </c>
      <c r="C244" s="70" t="s">
        <v>169</v>
      </c>
      <c r="D244" s="70" t="s">
        <v>170</v>
      </c>
      <c r="E244" s="69"/>
      <c r="F244" s="70" t="s">
        <v>39</v>
      </c>
      <c r="G244" s="56"/>
      <c r="H244" s="57"/>
      <c r="I244" s="68"/>
    </row>
    <row r="245" spans="1:9" x14ac:dyDescent="0.2">
      <c r="A245" s="70" t="s">
        <v>279</v>
      </c>
      <c r="B245" s="70" t="s">
        <v>294</v>
      </c>
      <c r="C245" s="70" t="s">
        <v>169</v>
      </c>
      <c r="D245" s="70" t="s">
        <v>171</v>
      </c>
      <c r="E245" s="69"/>
      <c r="F245" s="70" t="s">
        <v>39</v>
      </c>
      <c r="G245" s="56"/>
      <c r="H245" s="57"/>
      <c r="I245" s="68"/>
    </row>
    <row r="246" spans="1:9" x14ac:dyDescent="0.2">
      <c r="A246" s="70" t="s">
        <v>279</v>
      </c>
      <c r="B246" s="70" t="s">
        <v>295</v>
      </c>
      <c r="C246" s="70" t="s">
        <v>169</v>
      </c>
      <c r="D246" s="70" t="s">
        <v>170</v>
      </c>
      <c r="E246" s="69"/>
      <c r="F246" s="70" t="s">
        <v>187</v>
      </c>
      <c r="G246" s="56"/>
      <c r="H246" s="57"/>
      <c r="I246" s="68"/>
    </row>
    <row r="247" spans="1:9" x14ac:dyDescent="0.2">
      <c r="A247" s="70" t="s">
        <v>279</v>
      </c>
      <c r="B247" s="70" t="s">
        <v>295</v>
      </c>
      <c r="C247" s="70" t="s">
        <v>169</v>
      </c>
      <c r="D247" s="70" t="s">
        <v>171</v>
      </c>
      <c r="E247" s="69"/>
      <c r="F247" s="70" t="s">
        <v>187</v>
      </c>
      <c r="G247" s="56"/>
      <c r="H247" s="57"/>
      <c r="I247" s="68"/>
    </row>
    <row r="248" spans="1:9" x14ac:dyDescent="0.2">
      <c r="A248" s="70" t="s">
        <v>279</v>
      </c>
      <c r="B248" s="70" t="s">
        <v>296</v>
      </c>
      <c r="C248" s="70" t="s">
        <v>297</v>
      </c>
      <c r="D248" s="70" t="s">
        <v>282</v>
      </c>
      <c r="E248" s="69"/>
      <c r="F248" s="70" t="s">
        <v>187</v>
      </c>
      <c r="G248" s="56"/>
      <c r="H248" s="57" t="s">
        <v>298</v>
      </c>
      <c r="I248" s="68" t="s">
        <v>30</v>
      </c>
    </row>
    <row r="249" spans="1:9" x14ac:dyDescent="0.2">
      <c r="A249" s="70" t="s">
        <v>279</v>
      </c>
      <c r="B249" s="70" t="s">
        <v>296</v>
      </c>
      <c r="C249" s="70" t="s">
        <v>297</v>
      </c>
      <c r="D249" s="70" t="s">
        <v>285</v>
      </c>
      <c r="E249" s="69"/>
      <c r="F249" s="70" t="s">
        <v>187</v>
      </c>
      <c r="G249" s="56"/>
      <c r="H249" s="57" t="s">
        <v>298</v>
      </c>
      <c r="I249" s="68" t="s">
        <v>30</v>
      </c>
    </row>
    <row r="250" spans="1:9" x14ac:dyDescent="0.2">
      <c r="A250" s="70" t="s">
        <v>279</v>
      </c>
      <c r="B250" s="70" t="s">
        <v>296</v>
      </c>
      <c r="C250" s="70" t="s">
        <v>169</v>
      </c>
      <c r="D250" s="70" t="s">
        <v>282</v>
      </c>
      <c r="E250" s="69"/>
      <c r="F250" s="70" t="s">
        <v>39</v>
      </c>
      <c r="G250" s="56"/>
      <c r="H250" s="57" t="s">
        <v>298</v>
      </c>
      <c r="I250" s="68"/>
    </row>
    <row r="251" spans="1:9" x14ac:dyDescent="0.2">
      <c r="A251" s="70" t="s">
        <v>279</v>
      </c>
      <c r="B251" s="70" t="s">
        <v>296</v>
      </c>
      <c r="C251" s="70" t="s">
        <v>169</v>
      </c>
      <c r="D251" s="70" t="s">
        <v>282</v>
      </c>
      <c r="E251" s="69"/>
      <c r="F251" s="70" t="s">
        <v>187</v>
      </c>
      <c r="G251" s="56"/>
      <c r="H251" s="57" t="s">
        <v>298</v>
      </c>
      <c r="I251" s="68" t="s">
        <v>30</v>
      </c>
    </row>
    <row r="252" spans="1:9" x14ac:dyDescent="0.2">
      <c r="A252" s="70" t="s">
        <v>279</v>
      </c>
      <c r="B252" s="70" t="s">
        <v>296</v>
      </c>
      <c r="C252" s="70" t="s">
        <v>169</v>
      </c>
      <c r="D252" s="70" t="s">
        <v>283</v>
      </c>
      <c r="E252" s="69"/>
      <c r="F252" s="70" t="s">
        <v>39</v>
      </c>
      <c r="G252" s="56"/>
      <c r="H252" s="57" t="s">
        <v>298</v>
      </c>
      <c r="I252" s="68"/>
    </row>
    <row r="253" spans="1:9" x14ac:dyDescent="0.2">
      <c r="A253" s="70" t="s">
        <v>279</v>
      </c>
      <c r="B253" s="70" t="s">
        <v>296</v>
      </c>
      <c r="C253" s="70" t="s">
        <v>169</v>
      </c>
      <c r="D253" s="70" t="s">
        <v>283</v>
      </c>
      <c r="E253" s="69"/>
      <c r="F253" s="70" t="s">
        <v>187</v>
      </c>
      <c r="G253" s="56"/>
      <c r="H253" s="57" t="s">
        <v>298</v>
      </c>
      <c r="I253" s="68" t="s">
        <v>30</v>
      </c>
    </row>
    <row r="254" spans="1:9" x14ac:dyDescent="0.2">
      <c r="A254" s="70" t="s">
        <v>279</v>
      </c>
      <c r="B254" s="70" t="s">
        <v>296</v>
      </c>
      <c r="C254" s="70" t="s">
        <v>169</v>
      </c>
      <c r="D254" s="70" t="s">
        <v>284</v>
      </c>
      <c r="E254" s="69"/>
      <c r="F254" s="70" t="s">
        <v>39</v>
      </c>
      <c r="G254" s="56"/>
      <c r="H254" s="57" t="s">
        <v>298</v>
      </c>
      <c r="I254" s="68"/>
    </row>
    <row r="255" spans="1:9" x14ac:dyDescent="0.2">
      <c r="A255" s="70" t="s">
        <v>279</v>
      </c>
      <c r="B255" s="70" t="s">
        <v>296</v>
      </c>
      <c r="C255" s="70" t="s">
        <v>169</v>
      </c>
      <c r="D255" s="70" t="s">
        <v>284</v>
      </c>
      <c r="E255" s="69"/>
      <c r="F255" s="70" t="s">
        <v>187</v>
      </c>
      <c r="G255" s="56"/>
      <c r="H255" s="57" t="s">
        <v>298</v>
      </c>
      <c r="I255" s="68" t="s">
        <v>30</v>
      </c>
    </row>
    <row r="256" spans="1:9" x14ac:dyDescent="0.2">
      <c r="A256" s="70" t="s">
        <v>279</v>
      </c>
      <c r="B256" s="70" t="s">
        <v>296</v>
      </c>
      <c r="C256" s="70" t="s">
        <v>169</v>
      </c>
      <c r="D256" s="70" t="s">
        <v>285</v>
      </c>
      <c r="E256" s="69"/>
      <c r="F256" s="70" t="s">
        <v>39</v>
      </c>
      <c r="G256" s="56"/>
      <c r="H256" s="57" t="s">
        <v>298</v>
      </c>
      <c r="I256" s="68"/>
    </row>
    <row r="257" spans="1:9" x14ac:dyDescent="0.2">
      <c r="A257" s="70" t="s">
        <v>279</v>
      </c>
      <c r="B257" s="70" t="s">
        <v>296</v>
      </c>
      <c r="C257" s="70" t="s">
        <v>169</v>
      </c>
      <c r="D257" s="70" t="s">
        <v>285</v>
      </c>
      <c r="E257" s="69"/>
      <c r="F257" s="70" t="s">
        <v>187</v>
      </c>
      <c r="G257" s="56"/>
      <c r="H257" s="57" t="s">
        <v>298</v>
      </c>
      <c r="I257" s="68" t="s">
        <v>30</v>
      </c>
    </row>
    <row r="258" spans="1:9" x14ac:dyDescent="0.2">
      <c r="A258" s="70" t="s">
        <v>279</v>
      </c>
      <c r="B258" s="70" t="s">
        <v>296</v>
      </c>
      <c r="C258" s="70" t="s">
        <v>169</v>
      </c>
      <c r="D258" s="70" t="s">
        <v>286</v>
      </c>
      <c r="E258" s="69"/>
      <c r="F258" s="70" t="s">
        <v>39</v>
      </c>
      <c r="G258" s="56"/>
      <c r="H258" s="57" t="s">
        <v>298</v>
      </c>
      <c r="I258" s="68"/>
    </row>
    <row r="259" spans="1:9" x14ac:dyDescent="0.2">
      <c r="A259" s="70" t="s">
        <v>279</v>
      </c>
      <c r="B259" s="70" t="s">
        <v>296</v>
      </c>
      <c r="C259" s="70" t="s">
        <v>169</v>
      </c>
      <c r="D259" s="70" t="s">
        <v>286</v>
      </c>
      <c r="E259" s="69"/>
      <c r="F259" s="70" t="s">
        <v>187</v>
      </c>
      <c r="G259" s="56"/>
      <c r="H259" s="57" t="s">
        <v>298</v>
      </c>
      <c r="I259" s="68" t="s">
        <v>30</v>
      </c>
    </row>
    <row r="260" spans="1:9" x14ac:dyDescent="0.2">
      <c r="A260" s="70" t="s">
        <v>279</v>
      </c>
      <c r="B260" s="70" t="s">
        <v>296</v>
      </c>
      <c r="C260" s="70" t="s">
        <v>169</v>
      </c>
      <c r="D260" s="70" t="s">
        <v>287</v>
      </c>
      <c r="E260" s="69"/>
      <c r="F260" s="70" t="s">
        <v>39</v>
      </c>
      <c r="G260" s="56"/>
      <c r="H260" s="57" t="s">
        <v>298</v>
      </c>
      <c r="I260" s="68"/>
    </row>
    <row r="261" spans="1:9" x14ac:dyDescent="0.2">
      <c r="A261" s="70" t="s">
        <v>279</v>
      </c>
      <c r="B261" s="70" t="s">
        <v>296</v>
      </c>
      <c r="C261" s="70" t="s">
        <v>169</v>
      </c>
      <c r="D261" s="70" t="s">
        <v>287</v>
      </c>
      <c r="E261" s="69"/>
      <c r="F261" s="70" t="s">
        <v>187</v>
      </c>
      <c r="G261" s="56"/>
      <c r="H261" s="57" t="s">
        <v>298</v>
      </c>
      <c r="I261" s="68" t="s">
        <v>30</v>
      </c>
    </row>
    <row r="262" spans="1:9" x14ac:dyDescent="0.2">
      <c r="A262" s="70" t="s">
        <v>279</v>
      </c>
      <c r="B262" s="70" t="s">
        <v>296</v>
      </c>
      <c r="C262" s="70" t="s">
        <v>243</v>
      </c>
      <c r="D262" s="70" t="s">
        <v>282</v>
      </c>
      <c r="E262" s="69"/>
      <c r="F262" s="70" t="s">
        <v>187</v>
      </c>
      <c r="G262" s="56"/>
      <c r="H262" s="57" t="s">
        <v>298</v>
      </c>
      <c r="I262" s="68" t="s">
        <v>30</v>
      </c>
    </row>
    <row r="263" spans="1:9" x14ac:dyDescent="0.2">
      <c r="A263" s="70" t="s">
        <v>279</v>
      </c>
      <c r="B263" s="70" t="s">
        <v>296</v>
      </c>
      <c r="C263" s="70" t="s">
        <v>243</v>
      </c>
      <c r="D263" s="70" t="s">
        <v>283</v>
      </c>
      <c r="E263" s="69"/>
      <c r="F263" s="70" t="s">
        <v>187</v>
      </c>
      <c r="G263" s="56"/>
      <c r="H263" s="57" t="s">
        <v>298</v>
      </c>
      <c r="I263" s="68" t="s">
        <v>30</v>
      </c>
    </row>
    <row r="264" spans="1:9" x14ac:dyDescent="0.2">
      <c r="A264" s="70" t="s">
        <v>279</v>
      </c>
      <c r="B264" s="70" t="s">
        <v>296</v>
      </c>
      <c r="C264" s="70" t="s">
        <v>243</v>
      </c>
      <c r="D264" s="70" t="s">
        <v>286</v>
      </c>
      <c r="E264" s="69"/>
      <c r="F264" s="70" t="s">
        <v>187</v>
      </c>
      <c r="G264" s="56"/>
      <c r="H264" s="57" t="s">
        <v>298</v>
      </c>
      <c r="I264" s="68" t="s">
        <v>30</v>
      </c>
    </row>
    <row r="265" spans="1:9" x14ac:dyDescent="0.2">
      <c r="A265" s="70" t="s">
        <v>279</v>
      </c>
      <c r="B265" s="70" t="s">
        <v>296</v>
      </c>
      <c r="C265" s="70" t="s">
        <v>299</v>
      </c>
      <c r="D265" s="70" t="s">
        <v>282</v>
      </c>
      <c r="E265" s="69"/>
      <c r="F265" s="70" t="s">
        <v>187</v>
      </c>
      <c r="G265" s="56"/>
      <c r="H265" s="57" t="s">
        <v>298</v>
      </c>
      <c r="I265" s="68" t="s">
        <v>30</v>
      </c>
    </row>
    <row r="266" spans="1:9" x14ac:dyDescent="0.2">
      <c r="A266" s="70" t="s">
        <v>279</v>
      </c>
      <c r="B266" s="70" t="s">
        <v>300</v>
      </c>
      <c r="C266" s="70" t="s">
        <v>293</v>
      </c>
      <c r="D266" s="70" t="s">
        <v>170</v>
      </c>
      <c r="E266" s="69"/>
      <c r="F266" s="70" t="s">
        <v>187</v>
      </c>
      <c r="G266" s="56"/>
      <c r="H266" s="57"/>
      <c r="I266" s="68"/>
    </row>
    <row r="267" spans="1:9" x14ac:dyDescent="0.2">
      <c r="A267" s="70" t="s">
        <v>279</v>
      </c>
      <c r="B267" s="70" t="s">
        <v>300</v>
      </c>
      <c r="C267" s="70" t="s">
        <v>293</v>
      </c>
      <c r="D267" s="70" t="s">
        <v>171</v>
      </c>
      <c r="E267" s="69"/>
      <c r="F267" s="70" t="s">
        <v>187</v>
      </c>
      <c r="G267" s="56"/>
      <c r="H267" s="57"/>
      <c r="I267" s="68"/>
    </row>
    <row r="268" spans="1:9" x14ac:dyDescent="0.2">
      <c r="A268" s="70" t="s">
        <v>279</v>
      </c>
      <c r="B268" s="70" t="s">
        <v>300</v>
      </c>
      <c r="C268" s="70" t="s">
        <v>301</v>
      </c>
      <c r="D268" s="70" t="s">
        <v>170</v>
      </c>
      <c r="E268" s="69"/>
      <c r="F268" s="70" t="s">
        <v>187</v>
      </c>
      <c r="G268" s="56"/>
      <c r="H268" s="57"/>
      <c r="I268" s="68"/>
    </row>
    <row r="269" spans="1:9" x14ac:dyDescent="0.2">
      <c r="A269" s="70" t="s">
        <v>279</v>
      </c>
      <c r="B269" s="70" t="s">
        <v>300</v>
      </c>
      <c r="C269" s="70" t="s">
        <v>301</v>
      </c>
      <c r="D269" s="70" t="s">
        <v>171</v>
      </c>
      <c r="E269" s="69"/>
      <c r="F269" s="70" t="s">
        <v>187</v>
      </c>
      <c r="G269" s="56"/>
      <c r="H269" s="57"/>
      <c r="I269" s="68"/>
    </row>
    <row r="270" spans="1:9" x14ac:dyDescent="0.2">
      <c r="A270" s="70" t="s">
        <v>279</v>
      </c>
      <c r="B270" s="70" t="s">
        <v>300</v>
      </c>
      <c r="C270" s="70" t="s">
        <v>302</v>
      </c>
      <c r="D270" s="70" t="s">
        <v>170</v>
      </c>
      <c r="E270" s="69"/>
      <c r="F270" s="70" t="s">
        <v>187</v>
      </c>
      <c r="G270" s="56"/>
      <c r="H270" s="57"/>
      <c r="I270" s="68"/>
    </row>
    <row r="271" spans="1:9" x14ac:dyDescent="0.2">
      <c r="A271" s="70" t="s">
        <v>279</v>
      </c>
      <c r="B271" s="70" t="s">
        <v>300</v>
      </c>
      <c r="C271" s="70" t="s">
        <v>302</v>
      </c>
      <c r="D271" s="70" t="s">
        <v>171</v>
      </c>
      <c r="E271" s="69"/>
      <c r="F271" s="70" t="s">
        <v>187</v>
      </c>
      <c r="G271" s="56"/>
      <c r="H271" s="57"/>
      <c r="I271" s="68"/>
    </row>
    <row r="272" spans="1:9" x14ac:dyDescent="0.2">
      <c r="A272" s="70" t="s">
        <v>279</v>
      </c>
      <c r="B272" s="70" t="s">
        <v>300</v>
      </c>
      <c r="C272" s="70" t="s">
        <v>303</v>
      </c>
      <c r="D272" s="70" t="s">
        <v>170</v>
      </c>
      <c r="E272" s="69"/>
      <c r="F272" s="70" t="s">
        <v>187</v>
      </c>
      <c r="G272" s="56"/>
      <c r="H272" s="57"/>
      <c r="I272" s="68"/>
    </row>
    <row r="273" spans="1:9" x14ac:dyDescent="0.2">
      <c r="A273" s="70" t="s">
        <v>279</v>
      </c>
      <c r="B273" s="70" t="s">
        <v>300</v>
      </c>
      <c r="C273" s="70" t="s">
        <v>303</v>
      </c>
      <c r="D273" s="70" t="s">
        <v>171</v>
      </c>
      <c r="E273" s="69"/>
      <c r="F273" s="70" t="s">
        <v>187</v>
      </c>
      <c r="G273" s="56"/>
      <c r="H273" s="57"/>
      <c r="I273" s="68"/>
    </row>
    <row r="274" spans="1:9" x14ac:dyDescent="0.2">
      <c r="A274" s="70" t="s">
        <v>279</v>
      </c>
      <c r="B274" s="70" t="s">
        <v>304</v>
      </c>
      <c r="C274" s="70" t="s">
        <v>169</v>
      </c>
      <c r="D274" s="70" t="s">
        <v>170</v>
      </c>
      <c r="E274" s="69"/>
      <c r="F274" s="70" t="s">
        <v>187</v>
      </c>
      <c r="G274" s="56"/>
      <c r="H274" s="57"/>
      <c r="I274" s="68"/>
    </row>
    <row r="275" spans="1:9" x14ac:dyDescent="0.2">
      <c r="A275" s="70" t="s">
        <v>279</v>
      </c>
      <c r="B275" s="70" t="s">
        <v>304</v>
      </c>
      <c r="C275" s="70" t="s">
        <v>169</v>
      </c>
      <c r="D275" s="70" t="s">
        <v>171</v>
      </c>
      <c r="E275" s="69"/>
      <c r="F275" s="70" t="s">
        <v>187</v>
      </c>
      <c r="G275" s="56"/>
      <c r="H275" s="57"/>
      <c r="I275" s="68"/>
    </row>
    <row r="276" spans="1:9" x14ac:dyDescent="0.2">
      <c r="A276" s="70" t="s">
        <v>279</v>
      </c>
      <c r="B276" s="70" t="s">
        <v>305</v>
      </c>
      <c r="C276" s="70" t="s">
        <v>169</v>
      </c>
      <c r="D276" s="70" t="s">
        <v>170</v>
      </c>
      <c r="E276" s="69"/>
      <c r="F276" s="70" t="s">
        <v>39</v>
      </c>
      <c r="G276" s="56"/>
      <c r="H276" s="57"/>
      <c r="I276" s="68"/>
    </row>
    <row r="277" spans="1:9" x14ac:dyDescent="0.2">
      <c r="A277" s="70" t="s">
        <v>279</v>
      </c>
      <c r="B277" s="70" t="s">
        <v>306</v>
      </c>
      <c r="C277" s="70" t="s">
        <v>169</v>
      </c>
      <c r="D277" s="70" t="s">
        <v>170</v>
      </c>
      <c r="E277" s="69"/>
      <c r="F277" s="70" t="s">
        <v>39</v>
      </c>
      <c r="G277" s="56"/>
      <c r="H277" s="57" t="s">
        <v>307</v>
      </c>
      <c r="I277" s="68" t="s">
        <v>30</v>
      </c>
    </row>
    <row r="278" spans="1:9" x14ac:dyDescent="0.2">
      <c r="A278" s="70" t="s">
        <v>279</v>
      </c>
      <c r="B278" s="70" t="s">
        <v>306</v>
      </c>
      <c r="C278" s="70" t="s">
        <v>169</v>
      </c>
      <c r="D278" s="70" t="s">
        <v>171</v>
      </c>
      <c r="E278" s="69"/>
      <c r="F278" s="70" t="s">
        <v>39</v>
      </c>
      <c r="G278" s="56"/>
      <c r="H278" s="57" t="s">
        <v>307</v>
      </c>
      <c r="I278" s="68" t="s">
        <v>30</v>
      </c>
    </row>
    <row r="279" spans="1:9" x14ac:dyDescent="0.2">
      <c r="A279" s="70" t="s">
        <v>279</v>
      </c>
      <c r="B279" s="70" t="s">
        <v>308</v>
      </c>
      <c r="C279" s="70" t="s">
        <v>169</v>
      </c>
      <c r="D279" s="70" t="s">
        <v>170</v>
      </c>
      <c r="E279" s="69"/>
      <c r="F279" s="70" t="s">
        <v>39</v>
      </c>
      <c r="G279" s="56"/>
      <c r="H279" s="57"/>
      <c r="I279" s="68"/>
    </row>
    <row r="280" spans="1:9" x14ac:dyDescent="0.2">
      <c r="A280" s="70" t="s">
        <v>279</v>
      </c>
      <c r="B280" s="70" t="s">
        <v>308</v>
      </c>
      <c r="C280" s="70" t="s">
        <v>169</v>
      </c>
      <c r="D280" s="70" t="s">
        <v>171</v>
      </c>
      <c r="E280" s="69"/>
      <c r="F280" s="70" t="s">
        <v>39</v>
      </c>
      <c r="G280" s="56"/>
      <c r="H280" s="57"/>
      <c r="I280" s="68"/>
    </row>
    <row r="281" spans="1:9" x14ac:dyDescent="0.2">
      <c r="A281" s="70" t="s">
        <v>279</v>
      </c>
      <c r="B281" s="70" t="s">
        <v>309</v>
      </c>
      <c r="C281" s="70" t="s">
        <v>310</v>
      </c>
      <c r="D281" s="70" t="s">
        <v>170</v>
      </c>
      <c r="E281" s="69"/>
      <c r="F281" s="70" t="s">
        <v>187</v>
      </c>
      <c r="G281" s="56"/>
      <c r="H281" s="57" t="s">
        <v>311</v>
      </c>
      <c r="I281" s="68" t="s">
        <v>30</v>
      </c>
    </row>
    <row r="282" spans="1:9" x14ac:dyDescent="0.2">
      <c r="A282" s="70" t="s">
        <v>279</v>
      </c>
      <c r="B282" s="70" t="s">
        <v>309</v>
      </c>
      <c r="C282" s="70" t="s">
        <v>310</v>
      </c>
      <c r="D282" s="70" t="s">
        <v>171</v>
      </c>
      <c r="E282" s="69"/>
      <c r="F282" s="70" t="s">
        <v>187</v>
      </c>
      <c r="G282" s="56"/>
      <c r="H282" s="57" t="s">
        <v>311</v>
      </c>
      <c r="I282" s="68" t="s">
        <v>30</v>
      </c>
    </row>
    <row r="283" spans="1:9" x14ac:dyDescent="0.2">
      <c r="A283" s="70" t="s">
        <v>279</v>
      </c>
      <c r="B283" s="70" t="s">
        <v>309</v>
      </c>
      <c r="C283" s="70" t="s">
        <v>312</v>
      </c>
      <c r="D283" s="70" t="s">
        <v>170</v>
      </c>
      <c r="E283" s="69"/>
      <c r="F283" s="70" t="s">
        <v>187</v>
      </c>
      <c r="G283" s="56"/>
      <c r="H283" s="57" t="s">
        <v>311</v>
      </c>
      <c r="I283" s="68" t="s">
        <v>30</v>
      </c>
    </row>
    <row r="284" spans="1:9" x14ac:dyDescent="0.2">
      <c r="A284" s="70" t="s">
        <v>279</v>
      </c>
      <c r="B284" s="70" t="s">
        <v>309</v>
      </c>
      <c r="C284" s="70" t="s">
        <v>312</v>
      </c>
      <c r="D284" s="70" t="s">
        <v>171</v>
      </c>
      <c r="E284" s="69"/>
      <c r="F284" s="70" t="s">
        <v>187</v>
      </c>
      <c r="G284" s="56"/>
      <c r="H284" s="57" t="s">
        <v>311</v>
      </c>
      <c r="I284" s="68" t="s">
        <v>30</v>
      </c>
    </row>
    <row r="285" spans="1:9" x14ac:dyDescent="0.2">
      <c r="A285" s="70" t="s">
        <v>279</v>
      </c>
      <c r="B285" s="70" t="s">
        <v>309</v>
      </c>
      <c r="C285" s="70" t="s">
        <v>313</v>
      </c>
      <c r="D285" s="70" t="s">
        <v>170</v>
      </c>
      <c r="E285" s="69"/>
      <c r="F285" s="70" t="s">
        <v>187</v>
      </c>
      <c r="G285" s="56"/>
      <c r="H285" s="57" t="s">
        <v>311</v>
      </c>
      <c r="I285" s="68" t="s">
        <v>30</v>
      </c>
    </row>
    <row r="286" spans="1:9" x14ac:dyDescent="0.2">
      <c r="A286" s="70" t="s">
        <v>279</v>
      </c>
      <c r="B286" s="70" t="s">
        <v>309</v>
      </c>
      <c r="C286" s="70" t="s">
        <v>313</v>
      </c>
      <c r="D286" s="70" t="s">
        <v>171</v>
      </c>
      <c r="E286" s="69"/>
      <c r="F286" s="70" t="s">
        <v>187</v>
      </c>
      <c r="G286" s="56"/>
      <c r="H286" s="57" t="s">
        <v>311</v>
      </c>
      <c r="I286" s="68" t="s">
        <v>30</v>
      </c>
    </row>
    <row r="287" spans="1:9" x14ac:dyDescent="0.2">
      <c r="A287" s="70" t="s">
        <v>279</v>
      </c>
      <c r="B287" s="70" t="s">
        <v>314</v>
      </c>
      <c r="C287" s="70" t="s">
        <v>169</v>
      </c>
      <c r="D287" s="70" t="s">
        <v>170</v>
      </c>
      <c r="E287" s="69"/>
      <c r="F287" s="70" t="s">
        <v>187</v>
      </c>
      <c r="G287" s="56"/>
      <c r="H287" s="57"/>
      <c r="I287" s="68"/>
    </row>
    <row r="288" spans="1:9" x14ac:dyDescent="0.2">
      <c r="A288" s="70" t="s">
        <v>279</v>
      </c>
      <c r="B288" s="70" t="s">
        <v>314</v>
      </c>
      <c r="C288" s="70" t="s">
        <v>169</v>
      </c>
      <c r="D288" s="70" t="s">
        <v>171</v>
      </c>
      <c r="E288" s="69"/>
      <c r="F288" s="70" t="s">
        <v>187</v>
      </c>
      <c r="G288" s="56"/>
      <c r="H288" s="57"/>
      <c r="I288" s="68"/>
    </row>
    <row r="289" spans="1:9" x14ac:dyDescent="0.2">
      <c r="A289" s="70" t="s">
        <v>279</v>
      </c>
      <c r="B289" s="70" t="s">
        <v>315</v>
      </c>
      <c r="C289" s="70" t="s">
        <v>316</v>
      </c>
      <c r="D289" s="70" t="s">
        <v>170</v>
      </c>
      <c r="E289" s="69"/>
      <c r="F289" s="70" t="s">
        <v>187</v>
      </c>
      <c r="G289" s="56"/>
      <c r="H289" s="57"/>
      <c r="I289" s="68"/>
    </row>
    <row r="290" spans="1:9" x14ac:dyDescent="0.2">
      <c r="A290" s="70" t="s">
        <v>279</v>
      </c>
      <c r="B290" s="70" t="s">
        <v>315</v>
      </c>
      <c r="C290" s="70" t="s">
        <v>316</v>
      </c>
      <c r="D290" s="70" t="s">
        <v>171</v>
      </c>
      <c r="E290" s="69"/>
      <c r="F290" s="70" t="s">
        <v>187</v>
      </c>
      <c r="G290" s="56"/>
      <c r="H290" s="57"/>
      <c r="I290" s="68"/>
    </row>
    <row r="291" spans="1:9" x14ac:dyDescent="0.2">
      <c r="A291" s="70" t="s">
        <v>279</v>
      </c>
      <c r="B291" s="70" t="s">
        <v>315</v>
      </c>
      <c r="C291" s="70" t="s">
        <v>269</v>
      </c>
      <c r="D291" s="70" t="s">
        <v>170</v>
      </c>
      <c r="E291" s="69"/>
      <c r="F291" s="70" t="s">
        <v>187</v>
      </c>
      <c r="G291" s="56"/>
      <c r="H291" s="57"/>
      <c r="I291" s="68"/>
    </row>
    <row r="292" spans="1:9" x14ac:dyDescent="0.2">
      <c r="A292" s="70" t="s">
        <v>279</v>
      </c>
      <c r="B292" s="70" t="s">
        <v>315</v>
      </c>
      <c r="C292" s="70" t="s">
        <v>269</v>
      </c>
      <c r="D292" s="70" t="s">
        <v>171</v>
      </c>
      <c r="E292" s="69"/>
      <c r="F292" s="70" t="s">
        <v>187</v>
      </c>
      <c r="G292" s="56"/>
      <c r="H292" s="57"/>
      <c r="I292" s="68"/>
    </row>
    <row r="293" spans="1:9" x14ac:dyDescent="0.2">
      <c r="A293" s="70" t="s">
        <v>279</v>
      </c>
      <c r="B293" s="70" t="s">
        <v>317</v>
      </c>
      <c r="C293" s="70" t="s">
        <v>318</v>
      </c>
      <c r="D293" s="70" t="s">
        <v>170</v>
      </c>
      <c r="E293" s="69"/>
      <c r="F293" s="70" t="s">
        <v>39</v>
      </c>
      <c r="G293" s="56"/>
      <c r="H293" s="57" t="s">
        <v>319</v>
      </c>
      <c r="I293" s="68" t="s">
        <v>30</v>
      </c>
    </row>
    <row r="294" spans="1:9" x14ac:dyDescent="0.2">
      <c r="A294" s="70" t="s">
        <v>279</v>
      </c>
      <c r="B294" s="70" t="s">
        <v>317</v>
      </c>
      <c r="C294" s="70" t="s">
        <v>318</v>
      </c>
      <c r="D294" s="70" t="s">
        <v>171</v>
      </c>
      <c r="E294" s="69"/>
      <c r="F294" s="70" t="s">
        <v>39</v>
      </c>
      <c r="G294" s="56"/>
      <c r="H294" s="57" t="s">
        <v>319</v>
      </c>
      <c r="I294" s="68" t="s">
        <v>30</v>
      </c>
    </row>
    <row r="295" spans="1:9" x14ac:dyDescent="0.2">
      <c r="A295" s="69" t="s">
        <v>279</v>
      </c>
      <c r="B295" s="69" t="s">
        <v>317</v>
      </c>
      <c r="C295" s="69" t="s">
        <v>318</v>
      </c>
      <c r="D295" s="69" t="s">
        <v>320</v>
      </c>
      <c r="E295" s="69"/>
      <c r="F295" s="69" t="s">
        <v>39</v>
      </c>
      <c r="G295" s="56"/>
      <c r="H295" s="57" t="s">
        <v>319</v>
      </c>
      <c r="I295" s="68" t="s">
        <v>30</v>
      </c>
    </row>
    <row r="296" spans="1:9" x14ac:dyDescent="0.2">
      <c r="A296" s="70" t="s">
        <v>279</v>
      </c>
      <c r="B296" s="70" t="s">
        <v>317</v>
      </c>
      <c r="C296" s="70" t="s">
        <v>321</v>
      </c>
      <c r="D296" s="70" t="s">
        <v>170</v>
      </c>
      <c r="E296" s="69"/>
      <c r="F296" s="70" t="s">
        <v>39</v>
      </c>
      <c r="G296" s="56"/>
      <c r="H296" s="57" t="s">
        <v>319</v>
      </c>
      <c r="I296" s="68" t="s">
        <v>30</v>
      </c>
    </row>
    <row r="297" spans="1:9" x14ac:dyDescent="0.2">
      <c r="A297" s="70" t="s">
        <v>279</v>
      </c>
      <c r="B297" s="70" t="s">
        <v>317</v>
      </c>
      <c r="C297" s="70" t="s">
        <v>322</v>
      </c>
      <c r="D297" s="70" t="s">
        <v>170</v>
      </c>
      <c r="E297" s="69"/>
      <c r="F297" s="70" t="s">
        <v>39</v>
      </c>
      <c r="G297" s="56"/>
      <c r="H297" s="57" t="s">
        <v>319</v>
      </c>
      <c r="I297" s="68" t="s">
        <v>30</v>
      </c>
    </row>
    <row r="298" spans="1:9" x14ac:dyDescent="0.2">
      <c r="A298" s="70" t="s">
        <v>279</v>
      </c>
      <c r="B298" s="70" t="s">
        <v>317</v>
      </c>
      <c r="C298" s="70" t="s">
        <v>322</v>
      </c>
      <c r="D298" s="70" t="s">
        <v>171</v>
      </c>
      <c r="E298" s="69"/>
      <c r="F298" s="70" t="s">
        <v>39</v>
      </c>
      <c r="G298" s="56"/>
      <c r="H298" s="57" t="s">
        <v>319</v>
      </c>
      <c r="I298" s="68" t="s">
        <v>30</v>
      </c>
    </row>
    <row r="299" spans="1:9" x14ac:dyDescent="0.2">
      <c r="A299" s="70" t="s">
        <v>279</v>
      </c>
      <c r="B299" s="70" t="s">
        <v>317</v>
      </c>
      <c r="C299" s="70" t="s">
        <v>323</v>
      </c>
      <c r="D299" s="70" t="s">
        <v>170</v>
      </c>
      <c r="E299" s="69"/>
      <c r="F299" s="70" t="s">
        <v>39</v>
      </c>
      <c r="G299" s="56"/>
      <c r="H299" s="57" t="s">
        <v>319</v>
      </c>
      <c r="I299" s="68" t="s">
        <v>30</v>
      </c>
    </row>
    <row r="300" spans="1:9" x14ac:dyDescent="0.2">
      <c r="A300" s="70" t="s">
        <v>279</v>
      </c>
      <c r="B300" s="70" t="s">
        <v>317</v>
      </c>
      <c r="C300" s="70" t="s">
        <v>323</v>
      </c>
      <c r="D300" s="70" t="s">
        <v>171</v>
      </c>
      <c r="E300" s="69"/>
      <c r="F300" s="70" t="s">
        <v>39</v>
      </c>
      <c r="G300" s="56"/>
      <c r="H300" s="57" t="s">
        <v>319</v>
      </c>
      <c r="I300" s="68" t="s">
        <v>30</v>
      </c>
    </row>
    <row r="301" spans="1:9" x14ac:dyDescent="0.2">
      <c r="A301" s="70" t="s">
        <v>279</v>
      </c>
      <c r="B301" s="70" t="s">
        <v>317</v>
      </c>
      <c r="C301" s="70" t="s">
        <v>324</v>
      </c>
      <c r="D301" s="70" t="s">
        <v>170</v>
      </c>
      <c r="E301" s="69"/>
      <c r="F301" s="70" t="s">
        <v>39</v>
      </c>
      <c r="G301" s="56"/>
      <c r="H301" s="57" t="s">
        <v>319</v>
      </c>
      <c r="I301" s="68" t="s">
        <v>30</v>
      </c>
    </row>
    <row r="302" spans="1:9" x14ac:dyDescent="0.2">
      <c r="A302" s="70" t="s">
        <v>279</v>
      </c>
      <c r="B302" s="70" t="s">
        <v>317</v>
      </c>
      <c r="C302" s="70" t="s">
        <v>324</v>
      </c>
      <c r="D302" s="70" t="s">
        <v>171</v>
      </c>
      <c r="E302" s="69"/>
      <c r="F302" s="70" t="s">
        <v>39</v>
      </c>
      <c r="G302" s="56"/>
      <c r="H302" s="57" t="s">
        <v>319</v>
      </c>
      <c r="I302" s="68" t="s">
        <v>30</v>
      </c>
    </row>
    <row r="303" spans="1:9" x14ac:dyDescent="0.2">
      <c r="A303" s="70" t="s">
        <v>279</v>
      </c>
      <c r="B303" s="70" t="s">
        <v>317</v>
      </c>
      <c r="C303" s="70" t="s">
        <v>325</v>
      </c>
      <c r="D303" s="70" t="s">
        <v>170</v>
      </c>
      <c r="E303" s="69"/>
      <c r="F303" s="70" t="s">
        <v>39</v>
      </c>
      <c r="G303" s="56"/>
      <c r="H303" s="57" t="s">
        <v>319</v>
      </c>
      <c r="I303" s="68" t="s">
        <v>30</v>
      </c>
    </row>
    <row r="304" spans="1:9" x14ac:dyDescent="0.2">
      <c r="A304" s="70" t="s">
        <v>279</v>
      </c>
      <c r="B304" s="70" t="s">
        <v>317</v>
      </c>
      <c r="C304" s="70" t="s">
        <v>325</v>
      </c>
      <c r="D304" s="70" t="s">
        <v>171</v>
      </c>
      <c r="E304" s="69"/>
      <c r="F304" s="70" t="s">
        <v>39</v>
      </c>
      <c r="G304" s="56"/>
      <c r="H304" s="57" t="s">
        <v>319</v>
      </c>
      <c r="I304" s="68" t="s">
        <v>30</v>
      </c>
    </row>
    <row r="305" spans="1:9" x14ac:dyDescent="0.2">
      <c r="A305" s="70" t="s">
        <v>279</v>
      </c>
      <c r="B305" s="70" t="s">
        <v>326</v>
      </c>
      <c r="C305" s="70" t="s">
        <v>169</v>
      </c>
      <c r="D305" s="70" t="s">
        <v>170</v>
      </c>
      <c r="E305" s="69"/>
      <c r="F305" s="70" t="s">
        <v>39</v>
      </c>
      <c r="G305" s="56"/>
      <c r="H305" s="57"/>
      <c r="I305" s="68"/>
    </row>
    <row r="306" spans="1:9" x14ac:dyDescent="0.2">
      <c r="A306" s="70" t="s">
        <v>279</v>
      </c>
      <c r="B306" s="70" t="s">
        <v>327</v>
      </c>
      <c r="C306" s="70" t="s">
        <v>169</v>
      </c>
      <c r="D306" s="70" t="s">
        <v>170</v>
      </c>
      <c r="E306" s="69"/>
      <c r="F306" s="70" t="s">
        <v>39</v>
      </c>
      <c r="G306" s="56"/>
      <c r="H306" s="57"/>
      <c r="I306" s="68"/>
    </row>
    <row r="307" spans="1:9" x14ac:dyDescent="0.2">
      <c r="A307" s="70" t="s">
        <v>279</v>
      </c>
      <c r="B307" s="70" t="s">
        <v>327</v>
      </c>
      <c r="C307" s="70" t="s">
        <v>169</v>
      </c>
      <c r="D307" s="70" t="s">
        <v>170</v>
      </c>
      <c r="E307" s="69"/>
      <c r="F307" s="70" t="s">
        <v>187</v>
      </c>
      <c r="G307" s="56"/>
      <c r="H307" s="57"/>
      <c r="I307" s="68"/>
    </row>
    <row r="308" spans="1:9" x14ac:dyDescent="0.2">
      <c r="A308" s="70" t="s">
        <v>279</v>
      </c>
      <c r="B308" s="70" t="s">
        <v>327</v>
      </c>
      <c r="C308" s="70" t="s">
        <v>169</v>
      </c>
      <c r="D308" s="70" t="s">
        <v>171</v>
      </c>
      <c r="E308" s="69"/>
      <c r="F308" s="70" t="s">
        <v>39</v>
      </c>
      <c r="G308" s="56"/>
      <c r="H308" s="57"/>
      <c r="I308" s="68"/>
    </row>
    <row r="309" spans="1:9" x14ac:dyDescent="0.2">
      <c r="A309" s="70" t="s">
        <v>279</v>
      </c>
      <c r="B309" s="70" t="s">
        <v>327</v>
      </c>
      <c r="C309" s="70" t="s">
        <v>169</v>
      </c>
      <c r="D309" s="70" t="s">
        <v>171</v>
      </c>
      <c r="E309" s="69"/>
      <c r="F309" s="70" t="s">
        <v>187</v>
      </c>
      <c r="G309" s="56"/>
      <c r="H309" s="57"/>
      <c r="I309" s="68"/>
    </row>
    <row r="310" spans="1:9" x14ac:dyDescent="0.2">
      <c r="A310" s="70" t="s">
        <v>279</v>
      </c>
      <c r="B310" s="70" t="s">
        <v>328</v>
      </c>
      <c r="C310" s="70" t="s">
        <v>329</v>
      </c>
      <c r="D310" s="70" t="s">
        <v>170</v>
      </c>
      <c r="E310" s="69"/>
      <c r="F310" s="70" t="s">
        <v>187</v>
      </c>
      <c r="G310" s="56"/>
      <c r="H310" s="57" t="s">
        <v>330</v>
      </c>
      <c r="I310" s="68" t="s">
        <v>30</v>
      </c>
    </row>
    <row r="311" spans="1:9" x14ac:dyDescent="0.2">
      <c r="A311" s="70" t="s">
        <v>279</v>
      </c>
      <c r="B311" s="70" t="s">
        <v>328</v>
      </c>
      <c r="C311" s="70" t="s">
        <v>329</v>
      </c>
      <c r="D311" s="70" t="s">
        <v>171</v>
      </c>
      <c r="E311" s="69"/>
      <c r="F311" s="70" t="s">
        <v>187</v>
      </c>
      <c r="G311" s="56"/>
      <c r="H311" s="57" t="s">
        <v>330</v>
      </c>
      <c r="I311" s="68" t="s">
        <v>30</v>
      </c>
    </row>
    <row r="312" spans="1:9" x14ac:dyDescent="0.2">
      <c r="A312" s="70" t="s">
        <v>279</v>
      </c>
      <c r="B312" s="70" t="s">
        <v>328</v>
      </c>
      <c r="C312" s="70" t="s">
        <v>331</v>
      </c>
      <c r="D312" s="70" t="s">
        <v>170</v>
      </c>
      <c r="E312" s="69"/>
      <c r="F312" s="70" t="s">
        <v>187</v>
      </c>
      <c r="G312" s="56"/>
      <c r="H312" s="57" t="s">
        <v>330</v>
      </c>
      <c r="I312" s="68" t="s">
        <v>30</v>
      </c>
    </row>
    <row r="313" spans="1:9" x14ac:dyDescent="0.2">
      <c r="A313" s="70" t="s">
        <v>279</v>
      </c>
      <c r="B313" s="70" t="s">
        <v>328</v>
      </c>
      <c r="C313" s="70" t="s">
        <v>331</v>
      </c>
      <c r="D313" s="70" t="s">
        <v>171</v>
      </c>
      <c r="E313" s="69"/>
      <c r="F313" s="70" t="s">
        <v>187</v>
      </c>
      <c r="G313" s="56"/>
      <c r="H313" s="57" t="s">
        <v>330</v>
      </c>
      <c r="I313" s="68" t="s">
        <v>30</v>
      </c>
    </row>
    <row r="314" spans="1:9" x14ac:dyDescent="0.2">
      <c r="A314" s="70" t="s">
        <v>279</v>
      </c>
      <c r="B314" s="70" t="s">
        <v>332</v>
      </c>
      <c r="C314" s="70" t="s">
        <v>169</v>
      </c>
      <c r="D314" s="70" t="s">
        <v>170</v>
      </c>
      <c r="E314" s="69"/>
      <c r="F314" s="70" t="s">
        <v>39</v>
      </c>
      <c r="G314" s="56"/>
      <c r="H314" s="57"/>
      <c r="I314" s="68"/>
    </row>
    <row r="315" spans="1:9" x14ac:dyDescent="0.2">
      <c r="A315" s="70" t="s">
        <v>279</v>
      </c>
      <c r="B315" s="70" t="s">
        <v>332</v>
      </c>
      <c r="C315" s="70" t="s">
        <v>169</v>
      </c>
      <c r="D315" s="70" t="s">
        <v>171</v>
      </c>
      <c r="E315" s="69"/>
      <c r="F315" s="70" t="s">
        <v>39</v>
      </c>
      <c r="G315" s="56"/>
      <c r="H315" s="57"/>
      <c r="I315" s="68"/>
    </row>
    <row r="316" spans="1:9" x14ac:dyDescent="0.2">
      <c r="A316" s="70" t="s">
        <v>279</v>
      </c>
      <c r="B316" s="70" t="s">
        <v>333</v>
      </c>
      <c r="C316" s="70" t="s">
        <v>334</v>
      </c>
      <c r="D316" s="70" t="s">
        <v>170</v>
      </c>
      <c r="E316" s="69"/>
      <c r="F316" s="70" t="s">
        <v>39</v>
      </c>
      <c r="G316" s="56"/>
      <c r="H316" s="57"/>
      <c r="I316" s="68"/>
    </row>
    <row r="317" spans="1:9" x14ac:dyDescent="0.2">
      <c r="A317" s="70" t="s">
        <v>279</v>
      </c>
      <c r="B317" s="70" t="s">
        <v>333</v>
      </c>
      <c r="C317" s="70" t="s">
        <v>334</v>
      </c>
      <c r="D317" s="70" t="s">
        <v>171</v>
      </c>
      <c r="E317" s="69"/>
      <c r="F317" s="70" t="s">
        <v>39</v>
      </c>
      <c r="G317" s="56"/>
      <c r="H317" s="57"/>
      <c r="I317" s="68"/>
    </row>
    <row r="318" spans="1:9" x14ac:dyDescent="0.2">
      <c r="A318" s="70" t="s">
        <v>279</v>
      </c>
      <c r="B318" s="70" t="s">
        <v>333</v>
      </c>
      <c r="C318" s="70" t="s">
        <v>169</v>
      </c>
      <c r="D318" s="70" t="s">
        <v>170</v>
      </c>
      <c r="E318" s="69"/>
      <c r="F318" s="70" t="s">
        <v>39</v>
      </c>
      <c r="G318" s="56"/>
      <c r="H318" s="57"/>
      <c r="I318" s="68"/>
    </row>
    <row r="319" spans="1:9" x14ac:dyDescent="0.2">
      <c r="A319" s="70" t="s">
        <v>279</v>
      </c>
      <c r="B319" s="70" t="s">
        <v>333</v>
      </c>
      <c r="C319" s="70" t="s">
        <v>169</v>
      </c>
      <c r="D319" s="70" t="s">
        <v>171</v>
      </c>
      <c r="E319" s="69"/>
      <c r="F319" s="70" t="s">
        <v>39</v>
      </c>
      <c r="G319" s="56"/>
      <c r="H319" s="57"/>
      <c r="I319" s="68"/>
    </row>
    <row r="320" spans="1:9" x14ac:dyDescent="0.2">
      <c r="A320" s="70" t="s">
        <v>279</v>
      </c>
      <c r="B320" s="70" t="s">
        <v>335</v>
      </c>
      <c r="C320" s="70" t="s">
        <v>336</v>
      </c>
      <c r="D320" s="70" t="s">
        <v>170</v>
      </c>
      <c r="E320" s="69"/>
      <c r="F320" s="70" t="s">
        <v>187</v>
      </c>
      <c r="G320" s="56"/>
      <c r="H320" s="57"/>
      <c r="I320" s="68"/>
    </row>
    <row r="321" spans="1:9" x14ac:dyDescent="0.2">
      <c r="A321" s="70" t="s">
        <v>279</v>
      </c>
      <c r="B321" s="70" t="s">
        <v>335</v>
      </c>
      <c r="C321" s="70" t="s">
        <v>336</v>
      </c>
      <c r="D321" s="70" t="s">
        <v>171</v>
      </c>
      <c r="E321" s="69"/>
      <c r="F321" s="70" t="s">
        <v>187</v>
      </c>
      <c r="G321" s="56"/>
      <c r="H321" s="57"/>
      <c r="I321" s="68"/>
    </row>
    <row r="322" spans="1:9" x14ac:dyDescent="0.2">
      <c r="A322" s="70" t="s">
        <v>279</v>
      </c>
      <c r="B322" s="70" t="s">
        <v>337</v>
      </c>
      <c r="C322" s="70" t="s">
        <v>338</v>
      </c>
      <c r="D322" s="70" t="s">
        <v>170</v>
      </c>
      <c r="E322" s="69"/>
      <c r="F322" s="70" t="s">
        <v>187</v>
      </c>
      <c r="G322" s="56"/>
      <c r="H322" s="57"/>
      <c r="I322" s="68"/>
    </row>
    <row r="323" spans="1:9" x14ac:dyDescent="0.2">
      <c r="A323" s="70" t="s">
        <v>279</v>
      </c>
      <c r="B323" s="70" t="s">
        <v>337</v>
      </c>
      <c r="C323" s="70" t="s">
        <v>338</v>
      </c>
      <c r="D323" s="70" t="s">
        <v>171</v>
      </c>
      <c r="E323" s="69"/>
      <c r="F323" s="70" t="s">
        <v>187</v>
      </c>
      <c r="G323" s="56"/>
      <c r="H323" s="57"/>
      <c r="I323" s="68"/>
    </row>
    <row r="324" spans="1:9" x14ac:dyDescent="0.2">
      <c r="A324" s="70" t="s">
        <v>279</v>
      </c>
      <c r="B324" s="70" t="s">
        <v>337</v>
      </c>
      <c r="C324" s="70" t="s">
        <v>169</v>
      </c>
      <c r="D324" s="70" t="s">
        <v>170</v>
      </c>
      <c r="E324" s="69"/>
      <c r="F324" s="70" t="s">
        <v>39</v>
      </c>
      <c r="G324" s="56"/>
      <c r="H324" s="57"/>
      <c r="I324" s="68"/>
    </row>
    <row r="325" spans="1:9" x14ac:dyDescent="0.2">
      <c r="A325" s="70" t="s">
        <v>279</v>
      </c>
      <c r="B325" s="70" t="s">
        <v>337</v>
      </c>
      <c r="C325" s="70" t="s">
        <v>169</v>
      </c>
      <c r="D325" s="70" t="s">
        <v>170</v>
      </c>
      <c r="E325" s="69"/>
      <c r="F325" s="70" t="s">
        <v>187</v>
      </c>
      <c r="G325" s="56"/>
      <c r="H325" s="57"/>
      <c r="I325" s="68"/>
    </row>
    <row r="326" spans="1:9" x14ac:dyDescent="0.2">
      <c r="A326" s="70" t="s">
        <v>279</v>
      </c>
      <c r="B326" s="70" t="s">
        <v>337</v>
      </c>
      <c r="C326" s="70" t="s">
        <v>169</v>
      </c>
      <c r="D326" s="70" t="s">
        <v>171</v>
      </c>
      <c r="E326" s="69"/>
      <c r="F326" s="70" t="s">
        <v>39</v>
      </c>
      <c r="G326" s="56"/>
      <c r="H326" s="57"/>
      <c r="I326" s="68"/>
    </row>
    <row r="327" spans="1:9" x14ac:dyDescent="0.2">
      <c r="A327" s="70" t="s">
        <v>279</v>
      </c>
      <c r="B327" s="70" t="s">
        <v>337</v>
      </c>
      <c r="C327" s="70" t="s">
        <v>169</v>
      </c>
      <c r="D327" s="70" t="s">
        <v>171</v>
      </c>
      <c r="E327" s="69"/>
      <c r="F327" s="70" t="s">
        <v>187</v>
      </c>
      <c r="G327" s="56"/>
      <c r="H327" s="57"/>
      <c r="I327" s="68"/>
    </row>
    <row r="328" spans="1:9" x14ac:dyDescent="0.2">
      <c r="A328" s="70" t="s">
        <v>279</v>
      </c>
      <c r="B328" s="70" t="s">
        <v>339</v>
      </c>
      <c r="C328" s="70" t="s">
        <v>340</v>
      </c>
      <c r="D328" s="70" t="s">
        <v>170</v>
      </c>
      <c r="E328" s="69"/>
      <c r="F328" s="70" t="s">
        <v>39</v>
      </c>
      <c r="G328" s="56"/>
      <c r="H328" s="57" t="s">
        <v>341</v>
      </c>
      <c r="I328" s="68" t="s">
        <v>30</v>
      </c>
    </row>
    <row r="329" spans="1:9" x14ac:dyDescent="0.2">
      <c r="A329" s="70" t="s">
        <v>279</v>
      </c>
      <c r="B329" s="70" t="s">
        <v>339</v>
      </c>
      <c r="C329" s="70" t="s">
        <v>340</v>
      </c>
      <c r="D329" s="70" t="s">
        <v>171</v>
      </c>
      <c r="E329" s="69"/>
      <c r="F329" s="70" t="s">
        <v>39</v>
      </c>
      <c r="G329" s="56"/>
      <c r="H329" s="57" t="s">
        <v>341</v>
      </c>
      <c r="I329" s="68" t="s">
        <v>30</v>
      </c>
    </row>
    <row r="330" spans="1:9" x14ac:dyDescent="0.2">
      <c r="A330" s="70" t="s">
        <v>279</v>
      </c>
      <c r="B330" s="70" t="s">
        <v>339</v>
      </c>
      <c r="C330" s="70" t="s">
        <v>342</v>
      </c>
      <c r="D330" s="70" t="s">
        <v>170</v>
      </c>
      <c r="E330" s="69"/>
      <c r="F330" s="70" t="s">
        <v>39</v>
      </c>
      <c r="G330" s="56"/>
      <c r="H330" s="57" t="s">
        <v>341</v>
      </c>
      <c r="I330" s="68" t="s">
        <v>30</v>
      </c>
    </row>
    <row r="331" spans="1:9" x14ac:dyDescent="0.2">
      <c r="A331" s="70" t="s">
        <v>279</v>
      </c>
      <c r="B331" s="70" t="s">
        <v>339</v>
      </c>
      <c r="C331" s="70" t="s">
        <v>342</v>
      </c>
      <c r="D331" s="70" t="s">
        <v>171</v>
      </c>
      <c r="E331" s="69"/>
      <c r="F331" s="70" t="s">
        <v>39</v>
      </c>
      <c r="G331" s="56"/>
      <c r="H331" s="57" t="s">
        <v>341</v>
      </c>
      <c r="I331" s="68" t="s">
        <v>30</v>
      </c>
    </row>
    <row r="332" spans="1:9" x14ac:dyDescent="0.2">
      <c r="A332" s="70" t="s">
        <v>279</v>
      </c>
      <c r="B332" s="70" t="s">
        <v>270</v>
      </c>
      <c r="C332" s="70" t="s">
        <v>343</v>
      </c>
      <c r="D332" s="70" t="s">
        <v>170</v>
      </c>
      <c r="E332" s="69"/>
      <c r="F332" s="70" t="s">
        <v>39</v>
      </c>
      <c r="G332" s="56"/>
      <c r="H332" s="57"/>
      <c r="I332" s="68"/>
    </row>
    <row r="333" spans="1:9" x14ac:dyDescent="0.2">
      <c r="A333" s="70" t="s">
        <v>279</v>
      </c>
      <c r="B333" s="70" t="s">
        <v>270</v>
      </c>
      <c r="C333" s="70" t="s">
        <v>343</v>
      </c>
      <c r="D333" s="70" t="s">
        <v>171</v>
      </c>
      <c r="E333" s="69"/>
      <c r="F333" s="70" t="s">
        <v>39</v>
      </c>
      <c r="G333" s="56"/>
      <c r="H333" s="57"/>
      <c r="I333" s="68"/>
    </row>
    <row r="334" spans="1:9" x14ac:dyDescent="0.2">
      <c r="A334" s="70" t="s">
        <v>279</v>
      </c>
      <c r="B334" s="70" t="s">
        <v>344</v>
      </c>
      <c r="C334" s="70" t="s">
        <v>169</v>
      </c>
      <c r="D334" s="70" t="s">
        <v>170</v>
      </c>
      <c r="E334" s="69"/>
      <c r="F334" s="70" t="s">
        <v>39</v>
      </c>
      <c r="G334" s="56"/>
      <c r="H334" s="57" t="s">
        <v>345</v>
      </c>
      <c r="I334" s="68" t="s">
        <v>30</v>
      </c>
    </row>
    <row r="335" spans="1:9" x14ac:dyDescent="0.2">
      <c r="A335" s="70" t="s">
        <v>279</v>
      </c>
      <c r="B335" s="70" t="s">
        <v>344</v>
      </c>
      <c r="C335" s="70" t="s">
        <v>169</v>
      </c>
      <c r="D335" s="70" t="s">
        <v>170</v>
      </c>
      <c r="E335" s="69"/>
      <c r="F335" s="70" t="s">
        <v>187</v>
      </c>
      <c r="G335" s="56"/>
      <c r="H335" s="57" t="s">
        <v>345</v>
      </c>
      <c r="I335" s="68"/>
    </row>
    <row r="336" spans="1:9" x14ac:dyDescent="0.2">
      <c r="A336" s="70" t="s">
        <v>279</v>
      </c>
      <c r="B336" s="70" t="s">
        <v>344</v>
      </c>
      <c r="C336" s="70" t="s">
        <v>169</v>
      </c>
      <c r="D336" s="70" t="s">
        <v>171</v>
      </c>
      <c r="E336" s="69"/>
      <c r="F336" s="70" t="s">
        <v>39</v>
      </c>
      <c r="G336" s="56"/>
      <c r="H336" s="57" t="s">
        <v>345</v>
      </c>
      <c r="I336" s="68" t="s">
        <v>30</v>
      </c>
    </row>
    <row r="337" spans="1:9" x14ac:dyDescent="0.2">
      <c r="A337" s="70" t="s">
        <v>279</v>
      </c>
      <c r="B337" s="70" t="s">
        <v>344</v>
      </c>
      <c r="C337" s="70" t="s">
        <v>169</v>
      </c>
      <c r="D337" s="70" t="s">
        <v>171</v>
      </c>
      <c r="E337" s="69"/>
      <c r="F337" s="70" t="s">
        <v>187</v>
      </c>
      <c r="G337" s="56"/>
      <c r="H337" s="57" t="s">
        <v>345</v>
      </c>
      <c r="I337" s="68"/>
    </row>
    <row r="338" spans="1:9" x14ac:dyDescent="0.2">
      <c r="A338" s="70" t="s">
        <v>279</v>
      </c>
      <c r="B338" s="70" t="s">
        <v>346</v>
      </c>
      <c r="C338" s="70" t="s">
        <v>347</v>
      </c>
      <c r="D338" s="70" t="s">
        <v>282</v>
      </c>
      <c r="E338" s="69"/>
      <c r="F338" s="70" t="s">
        <v>39</v>
      </c>
      <c r="G338" s="56"/>
      <c r="H338" s="57" t="s">
        <v>348</v>
      </c>
      <c r="I338" s="68" t="s">
        <v>30</v>
      </c>
    </row>
    <row r="339" spans="1:9" x14ac:dyDescent="0.2">
      <c r="A339" s="70" t="s">
        <v>279</v>
      </c>
      <c r="B339" s="70" t="s">
        <v>346</v>
      </c>
      <c r="C339" s="70" t="s">
        <v>347</v>
      </c>
      <c r="D339" s="70" t="s">
        <v>283</v>
      </c>
      <c r="E339" s="69"/>
      <c r="F339" s="70" t="s">
        <v>39</v>
      </c>
      <c r="G339" s="56"/>
      <c r="H339" s="57" t="s">
        <v>348</v>
      </c>
      <c r="I339" s="68" t="s">
        <v>30</v>
      </c>
    </row>
    <row r="340" spans="1:9" x14ac:dyDescent="0.2">
      <c r="A340" s="70" t="s">
        <v>279</v>
      </c>
      <c r="B340" s="70" t="s">
        <v>346</v>
      </c>
      <c r="C340" s="70" t="s">
        <v>347</v>
      </c>
      <c r="D340" s="70" t="s">
        <v>284</v>
      </c>
      <c r="E340" s="69"/>
      <c r="F340" s="70" t="s">
        <v>39</v>
      </c>
      <c r="G340" s="56"/>
      <c r="H340" s="57" t="s">
        <v>348</v>
      </c>
      <c r="I340" s="68" t="s">
        <v>30</v>
      </c>
    </row>
    <row r="341" spans="1:9" x14ac:dyDescent="0.2">
      <c r="A341" s="70" t="s">
        <v>279</v>
      </c>
      <c r="B341" s="70" t="s">
        <v>346</v>
      </c>
      <c r="C341" s="70" t="s">
        <v>347</v>
      </c>
      <c r="D341" s="70" t="s">
        <v>285</v>
      </c>
      <c r="E341" s="69"/>
      <c r="F341" s="70" t="s">
        <v>39</v>
      </c>
      <c r="G341" s="56"/>
      <c r="H341" s="57" t="s">
        <v>348</v>
      </c>
      <c r="I341" s="68" t="s">
        <v>30</v>
      </c>
    </row>
    <row r="342" spans="1:9" x14ac:dyDescent="0.2">
      <c r="A342" s="70" t="s">
        <v>279</v>
      </c>
      <c r="B342" s="70" t="s">
        <v>346</v>
      </c>
      <c r="C342" s="70" t="s">
        <v>347</v>
      </c>
      <c r="D342" s="70" t="s">
        <v>286</v>
      </c>
      <c r="E342" s="69"/>
      <c r="F342" s="70" t="s">
        <v>39</v>
      </c>
      <c r="G342" s="56"/>
      <c r="H342" s="57" t="s">
        <v>348</v>
      </c>
      <c r="I342" s="68" t="s">
        <v>30</v>
      </c>
    </row>
    <row r="343" spans="1:9" x14ac:dyDescent="0.2">
      <c r="A343" s="70" t="s">
        <v>279</v>
      </c>
      <c r="B343" s="70" t="s">
        <v>346</v>
      </c>
      <c r="C343" s="70" t="s">
        <v>347</v>
      </c>
      <c r="D343" s="70" t="s">
        <v>287</v>
      </c>
      <c r="E343" s="69"/>
      <c r="F343" s="70" t="s">
        <v>39</v>
      </c>
      <c r="G343" s="56"/>
      <c r="H343" s="57" t="s">
        <v>348</v>
      </c>
      <c r="I343" s="68" t="s">
        <v>30</v>
      </c>
    </row>
    <row r="344" spans="1:9" x14ac:dyDescent="0.2">
      <c r="A344" s="70" t="s">
        <v>279</v>
      </c>
      <c r="B344" s="70" t="s">
        <v>349</v>
      </c>
      <c r="C344" s="70" t="s">
        <v>169</v>
      </c>
      <c r="D344" s="70" t="s">
        <v>170</v>
      </c>
      <c r="E344" s="69"/>
      <c r="F344" s="70" t="s">
        <v>39</v>
      </c>
      <c r="G344" s="56"/>
      <c r="H344" s="57" t="s">
        <v>350</v>
      </c>
      <c r="I344" s="68"/>
    </row>
    <row r="345" spans="1:9" x14ac:dyDescent="0.2">
      <c r="A345" s="70" t="s">
        <v>279</v>
      </c>
      <c r="B345" s="70" t="s">
        <v>349</v>
      </c>
      <c r="C345" s="70" t="s">
        <v>169</v>
      </c>
      <c r="D345" s="70" t="s">
        <v>170</v>
      </c>
      <c r="E345" s="69"/>
      <c r="F345" s="70" t="s">
        <v>187</v>
      </c>
      <c r="G345" s="56"/>
      <c r="H345" s="57" t="s">
        <v>350</v>
      </c>
      <c r="I345" s="68" t="s">
        <v>30</v>
      </c>
    </row>
    <row r="346" spans="1:9" x14ac:dyDescent="0.2">
      <c r="A346" s="70" t="s">
        <v>279</v>
      </c>
      <c r="B346" s="70" t="s">
        <v>349</v>
      </c>
      <c r="C346" s="70" t="s">
        <v>169</v>
      </c>
      <c r="D346" s="70" t="s">
        <v>171</v>
      </c>
      <c r="E346" s="69"/>
      <c r="F346" s="70" t="s">
        <v>39</v>
      </c>
      <c r="G346" s="56"/>
      <c r="H346" s="57" t="s">
        <v>350</v>
      </c>
      <c r="I346" s="68"/>
    </row>
    <row r="347" spans="1:9" x14ac:dyDescent="0.2">
      <c r="A347" s="70" t="s">
        <v>279</v>
      </c>
      <c r="B347" s="70" t="s">
        <v>349</v>
      </c>
      <c r="C347" s="70" t="s">
        <v>169</v>
      </c>
      <c r="D347" s="70" t="s">
        <v>171</v>
      </c>
      <c r="E347" s="69"/>
      <c r="F347" s="70" t="s">
        <v>187</v>
      </c>
      <c r="G347" s="56"/>
      <c r="H347" s="57" t="s">
        <v>350</v>
      </c>
      <c r="I347" s="68" t="s">
        <v>30</v>
      </c>
    </row>
    <row r="348" spans="1:9" x14ac:dyDescent="0.2">
      <c r="A348" s="70" t="s">
        <v>351</v>
      </c>
      <c r="B348" s="70" t="s">
        <v>352</v>
      </c>
      <c r="C348" s="69"/>
      <c r="D348" s="69"/>
      <c r="E348" s="69"/>
      <c r="F348" s="70" t="s">
        <v>353</v>
      </c>
      <c r="G348" s="56"/>
      <c r="H348" s="57" t="s">
        <v>354</v>
      </c>
      <c r="I348" s="68" t="s">
        <v>30</v>
      </c>
    </row>
    <row r="349" spans="1:9" x14ac:dyDescent="0.2">
      <c r="A349" s="70" t="s">
        <v>351</v>
      </c>
      <c r="B349" s="70" t="s">
        <v>355</v>
      </c>
      <c r="C349" s="69"/>
      <c r="D349" s="69"/>
      <c r="E349" s="69"/>
      <c r="F349" s="70" t="s">
        <v>353</v>
      </c>
      <c r="G349" s="56"/>
      <c r="H349" s="57" t="s">
        <v>354</v>
      </c>
      <c r="I349" s="68" t="s">
        <v>30</v>
      </c>
    </row>
    <row r="350" spans="1:9" x14ac:dyDescent="0.2">
      <c r="A350" s="70" t="s">
        <v>356</v>
      </c>
      <c r="B350" s="70" t="s">
        <v>357</v>
      </c>
      <c r="C350" s="69"/>
      <c r="D350" s="69"/>
      <c r="E350" s="69"/>
      <c r="F350" s="70" t="s">
        <v>358</v>
      </c>
      <c r="G350" s="56"/>
      <c r="H350" s="57" t="s">
        <v>359</v>
      </c>
      <c r="I350" s="68" t="s">
        <v>30</v>
      </c>
    </row>
    <row r="351" spans="1:9" x14ac:dyDescent="0.2">
      <c r="A351" s="70" t="s">
        <v>356</v>
      </c>
      <c r="B351" s="70" t="s">
        <v>360</v>
      </c>
      <c r="C351" s="69"/>
      <c r="D351" s="69"/>
      <c r="E351" s="69"/>
      <c r="F351" s="70" t="s">
        <v>361</v>
      </c>
      <c r="G351" s="56"/>
      <c r="H351" s="57" t="s">
        <v>359</v>
      </c>
      <c r="I351" s="68" t="s">
        <v>30</v>
      </c>
    </row>
    <row r="352" spans="1:9" x14ac:dyDescent="0.2">
      <c r="A352" s="70" t="s">
        <v>356</v>
      </c>
      <c r="B352" s="70" t="s">
        <v>362</v>
      </c>
      <c r="C352" s="69"/>
      <c r="D352" s="69"/>
      <c r="E352" s="69"/>
      <c r="F352" s="70" t="s">
        <v>363</v>
      </c>
      <c r="G352" s="56"/>
      <c r="H352" s="57" t="s">
        <v>364</v>
      </c>
      <c r="I352" s="68" t="s">
        <v>30</v>
      </c>
    </row>
    <row r="353" spans="1:9" x14ac:dyDescent="0.2">
      <c r="A353" s="70" t="s">
        <v>356</v>
      </c>
      <c r="B353" s="70" t="s">
        <v>365</v>
      </c>
      <c r="C353" s="69"/>
      <c r="D353" s="69"/>
      <c r="E353" s="69"/>
      <c r="F353" s="70" t="s">
        <v>363</v>
      </c>
      <c r="G353" s="56"/>
      <c r="H353" s="57" t="s">
        <v>364</v>
      </c>
      <c r="I353" s="68" t="s">
        <v>30</v>
      </c>
    </row>
    <row r="354" spans="1:9" x14ac:dyDescent="0.2">
      <c r="A354" s="70" t="s">
        <v>356</v>
      </c>
      <c r="B354" s="70" t="s">
        <v>366</v>
      </c>
      <c r="C354" s="69"/>
      <c r="D354" s="69"/>
      <c r="E354" s="69"/>
      <c r="F354" s="70" t="s">
        <v>367</v>
      </c>
      <c r="G354" s="56"/>
      <c r="H354" s="57" t="s">
        <v>368</v>
      </c>
      <c r="I354" s="68" t="s">
        <v>30</v>
      </c>
    </row>
    <row r="355" spans="1:9" x14ac:dyDescent="0.2">
      <c r="A355" s="70" t="s">
        <v>356</v>
      </c>
      <c r="B355" s="70" t="s">
        <v>369</v>
      </c>
      <c r="C355" s="69"/>
      <c r="D355" s="69"/>
      <c r="E355" s="69"/>
      <c r="F355" s="70" t="s">
        <v>370</v>
      </c>
      <c r="G355" s="56"/>
      <c r="H355" s="57" t="s">
        <v>371</v>
      </c>
      <c r="I355" s="68" t="s">
        <v>30</v>
      </c>
    </row>
    <row r="356" spans="1:9" x14ac:dyDescent="0.2">
      <c r="A356" s="70" t="s">
        <v>356</v>
      </c>
      <c r="B356" s="70" t="s">
        <v>372</v>
      </c>
      <c r="C356" s="69"/>
      <c r="D356" s="69"/>
      <c r="E356" s="69"/>
      <c r="F356" s="70" t="s">
        <v>373</v>
      </c>
      <c r="G356" s="56"/>
      <c r="H356" s="57" t="s">
        <v>374</v>
      </c>
      <c r="I356" s="68" t="s">
        <v>30</v>
      </c>
    </row>
    <row r="357" spans="1:9" x14ac:dyDescent="0.2">
      <c r="A357" s="70" t="s">
        <v>356</v>
      </c>
      <c r="B357" s="70" t="s">
        <v>375</v>
      </c>
      <c r="C357" s="69"/>
      <c r="D357" s="69"/>
      <c r="E357" s="69"/>
      <c r="F357" s="70" t="s">
        <v>373</v>
      </c>
      <c r="G357" s="56"/>
      <c r="H357" s="57" t="s">
        <v>374</v>
      </c>
      <c r="I357" s="68" t="s">
        <v>30</v>
      </c>
    </row>
    <row r="358" spans="1:9" x14ac:dyDescent="0.2">
      <c r="A358" s="70" t="s">
        <v>356</v>
      </c>
      <c r="B358" s="70" t="s">
        <v>376</v>
      </c>
      <c r="C358" s="69"/>
      <c r="D358" s="69"/>
      <c r="E358" s="69"/>
      <c r="F358" s="70" t="s">
        <v>373</v>
      </c>
      <c r="G358" s="56"/>
      <c r="H358" s="57" t="s">
        <v>374</v>
      </c>
      <c r="I358" s="68" t="s">
        <v>30</v>
      </c>
    </row>
    <row r="359" spans="1:9" x14ac:dyDescent="0.2">
      <c r="A359" s="70" t="s">
        <v>356</v>
      </c>
      <c r="B359" s="70" t="s">
        <v>377</v>
      </c>
      <c r="C359" s="69"/>
      <c r="D359" s="69"/>
      <c r="E359" s="69"/>
      <c r="F359" s="70" t="s">
        <v>378</v>
      </c>
      <c r="G359" s="56"/>
      <c r="H359" s="57" t="s">
        <v>379</v>
      </c>
      <c r="I359" s="68" t="s">
        <v>30</v>
      </c>
    </row>
    <row r="360" spans="1:9" x14ac:dyDescent="0.2">
      <c r="A360" s="70" t="s">
        <v>380</v>
      </c>
      <c r="B360" s="70" t="s">
        <v>381</v>
      </c>
      <c r="C360" s="69"/>
      <c r="D360" s="69"/>
      <c r="E360" s="69"/>
      <c r="F360" s="70" t="s">
        <v>39</v>
      </c>
      <c r="G360" s="56"/>
      <c r="H360" s="57" t="s">
        <v>382</v>
      </c>
      <c r="I360" s="68" t="s">
        <v>30</v>
      </c>
    </row>
    <row r="361" spans="1:9" x14ac:dyDescent="0.2">
      <c r="A361" s="70" t="s">
        <v>380</v>
      </c>
      <c r="B361" s="70" t="s">
        <v>383</v>
      </c>
      <c r="C361" s="69"/>
      <c r="D361" s="69"/>
      <c r="E361" s="69"/>
      <c r="F361" s="70" t="s">
        <v>39</v>
      </c>
      <c r="G361" s="56"/>
      <c r="H361" s="57" t="s">
        <v>382</v>
      </c>
      <c r="I361" s="68" t="s">
        <v>30</v>
      </c>
    </row>
    <row r="362" spans="1:9" x14ac:dyDescent="0.2">
      <c r="A362" s="70" t="s">
        <v>380</v>
      </c>
      <c r="B362" s="70" t="s">
        <v>384</v>
      </c>
      <c r="C362" s="69"/>
      <c r="D362" s="69"/>
      <c r="E362" s="69"/>
      <c r="F362" s="70" t="s">
        <v>39</v>
      </c>
      <c r="G362" s="56"/>
      <c r="H362" s="57" t="s">
        <v>382</v>
      </c>
      <c r="I362" s="68" t="s">
        <v>30</v>
      </c>
    </row>
    <row r="363" spans="1:9" x14ac:dyDescent="0.2">
      <c r="A363" s="70" t="s">
        <v>380</v>
      </c>
      <c r="B363" s="70" t="s">
        <v>385</v>
      </c>
      <c r="C363" s="69"/>
      <c r="D363" s="69"/>
      <c r="E363" s="69"/>
      <c r="F363" s="70" t="s">
        <v>39</v>
      </c>
      <c r="G363" s="56"/>
      <c r="H363" s="57" t="s">
        <v>382</v>
      </c>
      <c r="I363" s="68" t="s">
        <v>30</v>
      </c>
    </row>
    <row r="364" spans="1:9" x14ac:dyDescent="0.2">
      <c r="A364" s="70" t="s">
        <v>380</v>
      </c>
      <c r="B364" s="70" t="s">
        <v>386</v>
      </c>
      <c r="C364" s="69"/>
      <c r="D364" s="69"/>
      <c r="E364" s="69"/>
      <c r="F364" s="70" t="s">
        <v>39</v>
      </c>
      <c r="G364" s="56"/>
      <c r="H364" s="57" t="s">
        <v>382</v>
      </c>
      <c r="I364" s="68" t="s">
        <v>30</v>
      </c>
    </row>
    <row r="365" spans="1:9" x14ac:dyDescent="0.2">
      <c r="A365" s="70" t="s">
        <v>380</v>
      </c>
      <c r="B365" s="70" t="s">
        <v>387</v>
      </c>
      <c r="C365" s="69"/>
      <c r="D365" s="69"/>
      <c r="E365" s="69"/>
      <c r="F365" s="70" t="s">
        <v>39</v>
      </c>
      <c r="G365" s="56"/>
      <c r="H365" s="57" t="s">
        <v>382</v>
      </c>
      <c r="I365" s="68" t="s">
        <v>30</v>
      </c>
    </row>
    <row r="366" spans="1:9" x14ac:dyDescent="0.2">
      <c r="A366" s="70" t="s">
        <v>388</v>
      </c>
      <c r="B366" s="70" t="s">
        <v>389</v>
      </c>
      <c r="C366" s="69"/>
      <c r="D366" s="69"/>
      <c r="E366" s="69"/>
      <c r="F366" s="70" t="s">
        <v>390</v>
      </c>
      <c r="G366" s="56"/>
      <c r="H366" s="57"/>
      <c r="I366" s="68"/>
    </row>
    <row r="367" spans="1:9" x14ac:dyDescent="0.2">
      <c r="A367" s="70" t="s">
        <v>388</v>
      </c>
      <c r="B367" s="70" t="s">
        <v>389</v>
      </c>
      <c r="C367" s="69"/>
      <c r="D367" s="69"/>
      <c r="E367" s="69"/>
      <c r="F367" s="70" t="s">
        <v>391</v>
      </c>
      <c r="G367" s="56"/>
      <c r="H367" s="57"/>
      <c r="I367" s="68"/>
    </row>
    <row r="368" spans="1:9" x14ac:dyDescent="0.2">
      <c r="A368" s="70" t="s">
        <v>388</v>
      </c>
      <c r="B368" s="70" t="s">
        <v>389</v>
      </c>
      <c r="C368" s="69"/>
      <c r="D368" s="69"/>
      <c r="E368" s="69"/>
      <c r="F368" s="70" t="s">
        <v>392</v>
      </c>
      <c r="G368" s="56"/>
      <c r="H368" s="57"/>
      <c r="I368" s="68"/>
    </row>
    <row r="369" spans="1:9" x14ac:dyDescent="0.2">
      <c r="A369" s="70" t="s">
        <v>388</v>
      </c>
      <c r="B369" s="70" t="s">
        <v>393</v>
      </c>
      <c r="C369" s="69"/>
      <c r="D369" s="69"/>
      <c r="E369" s="69"/>
      <c r="F369" s="70" t="s">
        <v>390</v>
      </c>
      <c r="G369" s="56"/>
      <c r="H369" s="57"/>
      <c r="I369" s="68"/>
    </row>
    <row r="370" spans="1:9" x14ac:dyDescent="0.2">
      <c r="A370" s="70" t="s">
        <v>388</v>
      </c>
      <c r="B370" s="70" t="s">
        <v>393</v>
      </c>
      <c r="C370" s="69"/>
      <c r="D370" s="69"/>
      <c r="E370" s="69"/>
      <c r="F370" s="70" t="s">
        <v>391</v>
      </c>
      <c r="G370" s="56"/>
      <c r="H370" s="57"/>
      <c r="I370" s="68"/>
    </row>
    <row r="371" spans="1:9" x14ac:dyDescent="0.2">
      <c r="A371" s="70" t="s">
        <v>388</v>
      </c>
      <c r="B371" s="70" t="s">
        <v>393</v>
      </c>
      <c r="C371" s="69"/>
      <c r="D371" s="69"/>
      <c r="E371" s="69"/>
      <c r="F371" s="70" t="s">
        <v>392</v>
      </c>
      <c r="G371" s="56"/>
      <c r="H371" s="57"/>
      <c r="I371" s="68"/>
    </row>
    <row r="372" spans="1:9" x14ac:dyDescent="0.2">
      <c r="A372" s="70" t="s">
        <v>388</v>
      </c>
      <c r="B372" s="70" t="s">
        <v>394</v>
      </c>
      <c r="C372" s="69"/>
      <c r="D372" s="69"/>
      <c r="E372" s="69"/>
      <c r="F372" s="70" t="s">
        <v>390</v>
      </c>
      <c r="G372" s="56"/>
      <c r="H372" s="57"/>
      <c r="I372" s="68"/>
    </row>
    <row r="373" spans="1:9" x14ac:dyDescent="0.2">
      <c r="A373" s="70" t="s">
        <v>388</v>
      </c>
      <c r="B373" s="70" t="s">
        <v>394</v>
      </c>
      <c r="C373" s="69"/>
      <c r="D373" s="69"/>
      <c r="E373" s="69"/>
      <c r="F373" s="70" t="s">
        <v>391</v>
      </c>
      <c r="G373" s="56"/>
      <c r="H373" s="57"/>
      <c r="I373" s="68"/>
    </row>
    <row r="374" spans="1:9" x14ac:dyDescent="0.2">
      <c r="A374" s="70" t="s">
        <v>388</v>
      </c>
      <c r="B374" s="70" t="s">
        <v>394</v>
      </c>
      <c r="C374" s="69"/>
      <c r="D374" s="69"/>
      <c r="E374" s="69"/>
      <c r="F374" s="70" t="s">
        <v>392</v>
      </c>
      <c r="G374" s="56"/>
      <c r="H374" s="57"/>
      <c r="I374" s="68"/>
    </row>
    <row r="375" spans="1:9" x14ac:dyDescent="0.2">
      <c r="A375" s="70" t="s">
        <v>388</v>
      </c>
      <c r="B375" s="70" t="s">
        <v>395</v>
      </c>
      <c r="C375" s="69"/>
      <c r="D375" s="69"/>
      <c r="E375" s="69"/>
      <c r="F375" s="70" t="s">
        <v>390</v>
      </c>
      <c r="G375" s="56"/>
      <c r="H375" s="57"/>
      <c r="I375" s="68"/>
    </row>
    <row r="376" spans="1:9" x14ac:dyDescent="0.2">
      <c r="A376" s="70" t="s">
        <v>388</v>
      </c>
      <c r="B376" s="70" t="s">
        <v>395</v>
      </c>
      <c r="C376" s="69"/>
      <c r="D376" s="69"/>
      <c r="E376" s="69"/>
      <c r="F376" s="70" t="s">
        <v>391</v>
      </c>
      <c r="G376" s="56"/>
      <c r="H376" s="57"/>
      <c r="I376" s="68"/>
    </row>
    <row r="377" spans="1:9" x14ac:dyDescent="0.2">
      <c r="A377" s="70" t="s">
        <v>388</v>
      </c>
      <c r="B377" s="70" t="s">
        <v>395</v>
      </c>
      <c r="C377" s="69"/>
      <c r="D377" s="69"/>
      <c r="E377" s="69"/>
      <c r="F377" s="70" t="s">
        <v>392</v>
      </c>
      <c r="G377" s="56"/>
      <c r="H377" s="57"/>
      <c r="I377" s="68"/>
    </row>
    <row r="378" spans="1:9" x14ac:dyDescent="0.2">
      <c r="A378" s="70" t="s">
        <v>388</v>
      </c>
      <c r="B378" s="70" t="s">
        <v>385</v>
      </c>
      <c r="C378" s="69"/>
      <c r="D378" s="69"/>
      <c r="E378" s="69"/>
      <c r="F378" s="70" t="s">
        <v>390</v>
      </c>
      <c r="G378" s="56"/>
      <c r="H378" s="57"/>
      <c r="I378" s="68"/>
    </row>
    <row r="379" spans="1:9" x14ac:dyDescent="0.2">
      <c r="A379" s="70" t="s">
        <v>388</v>
      </c>
      <c r="B379" s="70" t="s">
        <v>385</v>
      </c>
      <c r="C379" s="69"/>
      <c r="D379" s="69"/>
      <c r="E379" s="69"/>
      <c r="F379" s="70" t="s">
        <v>391</v>
      </c>
      <c r="G379" s="56"/>
      <c r="H379" s="57"/>
      <c r="I379" s="68"/>
    </row>
    <row r="380" spans="1:9" x14ac:dyDescent="0.2">
      <c r="A380" s="70" t="s">
        <v>388</v>
      </c>
      <c r="B380" s="70" t="s">
        <v>385</v>
      </c>
      <c r="C380" s="69"/>
      <c r="D380" s="69"/>
      <c r="E380" s="69"/>
      <c r="F380" s="70" t="s">
        <v>392</v>
      </c>
      <c r="G380" s="56"/>
      <c r="H380" s="57"/>
      <c r="I380" s="68"/>
    </row>
    <row r="381" spans="1:9" x14ac:dyDescent="0.2">
      <c r="A381" s="70" t="s">
        <v>388</v>
      </c>
      <c r="B381" s="70" t="s">
        <v>387</v>
      </c>
      <c r="C381" s="69"/>
      <c r="D381" s="69"/>
      <c r="E381" s="69"/>
      <c r="F381" s="70" t="s">
        <v>390</v>
      </c>
      <c r="G381" s="56"/>
      <c r="H381" s="57"/>
      <c r="I381" s="68"/>
    </row>
    <row r="382" spans="1:9" x14ac:dyDescent="0.2">
      <c r="A382" s="70" t="s">
        <v>388</v>
      </c>
      <c r="B382" s="70" t="s">
        <v>387</v>
      </c>
      <c r="C382" s="69"/>
      <c r="D382" s="69"/>
      <c r="E382" s="69"/>
      <c r="F382" s="70" t="s">
        <v>391</v>
      </c>
      <c r="G382" s="56"/>
      <c r="H382" s="57"/>
      <c r="I382" s="68"/>
    </row>
    <row r="383" spans="1:9" x14ac:dyDescent="0.2">
      <c r="A383" s="70" t="s">
        <v>388</v>
      </c>
      <c r="B383" s="70" t="s">
        <v>387</v>
      </c>
      <c r="C383" s="69"/>
      <c r="D383" s="69"/>
      <c r="E383" s="69"/>
      <c r="F383" s="70" t="s">
        <v>392</v>
      </c>
      <c r="G383" s="56"/>
      <c r="H383" s="57"/>
      <c r="I383" s="68"/>
    </row>
    <row r="384" spans="1:9" x14ac:dyDescent="0.2">
      <c r="A384" s="70" t="s">
        <v>396</v>
      </c>
      <c r="B384" s="70" t="s">
        <v>397</v>
      </c>
      <c r="C384" s="69"/>
      <c r="D384" s="69"/>
      <c r="E384" s="69"/>
      <c r="F384" s="70" t="s">
        <v>39</v>
      </c>
      <c r="G384" s="56"/>
      <c r="H384" s="57" t="s">
        <v>398</v>
      </c>
      <c r="I384" s="68" t="s">
        <v>30</v>
      </c>
    </row>
    <row r="385" spans="1:9" x14ac:dyDescent="0.2">
      <c r="A385" s="70" t="s">
        <v>396</v>
      </c>
      <c r="B385" s="70" t="s">
        <v>399</v>
      </c>
      <c r="C385" s="69"/>
      <c r="D385" s="69"/>
      <c r="E385" s="69"/>
      <c r="F385" s="70" t="s">
        <v>39</v>
      </c>
      <c r="G385" s="56"/>
      <c r="H385" s="57" t="s">
        <v>398</v>
      </c>
      <c r="I385" s="68" t="s">
        <v>30</v>
      </c>
    </row>
    <row r="386" spans="1:9" x14ac:dyDescent="0.2">
      <c r="A386" s="70" t="s">
        <v>396</v>
      </c>
      <c r="B386" s="70" t="s">
        <v>400</v>
      </c>
      <c r="C386" s="69"/>
      <c r="D386" s="69"/>
      <c r="E386" s="69"/>
      <c r="F386" s="70" t="s">
        <v>39</v>
      </c>
      <c r="G386" s="56"/>
      <c r="H386" s="57" t="s">
        <v>398</v>
      </c>
      <c r="I386" s="68" t="s">
        <v>30</v>
      </c>
    </row>
    <row r="387" spans="1:9" x14ac:dyDescent="0.2">
      <c r="A387" s="70" t="s">
        <v>396</v>
      </c>
      <c r="B387" s="70" t="s">
        <v>401</v>
      </c>
      <c r="C387" s="69"/>
      <c r="D387" s="69"/>
      <c r="E387" s="69"/>
      <c r="F387" s="70" t="s">
        <v>39</v>
      </c>
      <c r="G387" s="56"/>
      <c r="H387" s="57" t="s">
        <v>398</v>
      </c>
      <c r="I387" s="94" t="s">
        <v>30</v>
      </c>
    </row>
    <row r="388" spans="1:9" x14ac:dyDescent="0.2">
      <c r="A388" s="70" t="s">
        <v>396</v>
      </c>
      <c r="B388" s="70" t="s">
        <v>402</v>
      </c>
      <c r="C388" s="69"/>
      <c r="D388" s="69"/>
      <c r="E388" s="69"/>
      <c r="F388" s="70" t="s">
        <v>39</v>
      </c>
      <c r="G388" s="56"/>
      <c r="H388" s="57" t="s">
        <v>398</v>
      </c>
      <c r="I388" s="94" t="s">
        <v>30</v>
      </c>
    </row>
    <row r="389" spans="1:9" x14ac:dyDescent="0.2">
      <c r="A389" s="69" t="s">
        <v>403</v>
      </c>
      <c r="B389" s="69" t="s">
        <v>403</v>
      </c>
      <c r="C389" s="69"/>
      <c r="D389" s="69"/>
      <c r="E389" s="69"/>
      <c r="F389" s="69" t="s">
        <v>28</v>
      </c>
      <c r="G389" s="56"/>
      <c r="H389" s="57" t="s">
        <v>404</v>
      </c>
      <c r="I389" s="68" t="s">
        <v>30</v>
      </c>
    </row>
    <row r="390" spans="1:9" x14ac:dyDescent="0.2">
      <c r="A390" s="69" t="s">
        <v>167</v>
      </c>
      <c r="B390" s="69" t="s">
        <v>244</v>
      </c>
      <c r="C390" s="69" t="s">
        <v>405</v>
      </c>
      <c r="D390" s="69" t="s">
        <v>170</v>
      </c>
      <c r="E390" s="69"/>
      <c r="F390" s="69" t="s">
        <v>39</v>
      </c>
      <c r="G390" s="56"/>
      <c r="H390" s="57"/>
      <c r="I390" s="68"/>
    </row>
    <row r="391" spans="1:9" x14ac:dyDescent="0.2">
      <c r="A391" s="69"/>
      <c r="B391" s="69"/>
      <c r="C391" s="69"/>
      <c r="D391" s="69"/>
      <c r="E391" s="69"/>
      <c r="F391" s="69"/>
      <c r="G391" s="56"/>
      <c r="H391" s="57"/>
      <c r="I391" s="68"/>
    </row>
    <row r="392" spans="1:9" x14ac:dyDescent="0.2">
      <c r="A392" s="69"/>
      <c r="B392" s="69"/>
      <c r="C392" s="69"/>
      <c r="D392" s="69"/>
      <c r="E392" s="69"/>
      <c r="F392" s="69"/>
      <c r="G392" s="56"/>
      <c r="H392" s="57"/>
      <c r="I392" s="68"/>
    </row>
    <row r="393" spans="1:9" x14ac:dyDescent="0.2">
      <c r="A393" s="69"/>
      <c r="B393" s="69"/>
      <c r="C393" s="69"/>
      <c r="D393" s="69"/>
      <c r="E393" s="69"/>
      <c r="F393" s="69"/>
      <c r="G393" s="56"/>
      <c r="H393" s="57"/>
      <c r="I393" s="68"/>
    </row>
    <row r="394" spans="1:9" x14ac:dyDescent="0.2">
      <c r="A394" s="69"/>
      <c r="B394" s="69"/>
      <c r="C394" s="69"/>
      <c r="D394" s="69"/>
      <c r="E394" s="69"/>
      <c r="F394" s="69"/>
      <c r="G394" s="56"/>
      <c r="H394" s="57"/>
      <c r="I394" s="68"/>
    </row>
    <row r="395" spans="1:9" x14ac:dyDescent="0.2">
      <c r="A395" s="69"/>
      <c r="B395" s="69"/>
      <c r="C395" s="69"/>
      <c r="D395" s="69"/>
      <c r="E395" s="69"/>
      <c r="F395" s="69"/>
      <c r="G395" s="56"/>
      <c r="H395" s="57"/>
      <c r="I395" s="68"/>
    </row>
    <row r="396" spans="1:9" x14ac:dyDescent="0.2">
      <c r="A396" s="69"/>
      <c r="B396" s="69"/>
      <c r="C396" s="69"/>
      <c r="D396" s="69"/>
      <c r="E396" s="69"/>
      <c r="F396" s="69"/>
      <c r="G396" s="56"/>
      <c r="H396" s="57"/>
      <c r="I396" s="68"/>
    </row>
    <row r="397" spans="1:9" x14ac:dyDescent="0.2">
      <c r="A397" s="69"/>
      <c r="B397" s="69"/>
      <c r="C397" s="69"/>
      <c r="D397" s="69"/>
      <c r="E397" s="69"/>
      <c r="F397" s="69"/>
      <c r="G397" s="56"/>
      <c r="H397" s="57"/>
      <c r="I397" s="68"/>
    </row>
    <row r="398" spans="1:9" x14ac:dyDescent="0.2">
      <c r="A398" s="69"/>
      <c r="B398" s="69"/>
      <c r="C398" s="69"/>
      <c r="D398" s="69"/>
      <c r="E398" s="69"/>
      <c r="F398" s="69"/>
      <c r="G398" s="56"/>
      <c r="H398" s="57"/>
      <c r="I398" s="68"/>
    </row>
    <row r="399" spans="1:9" x14ac:dyDescent="0.2">
      <c r="A399" s="69"/>
      <c r="B399" s="69"/>
      <c r="C399" s="69"/>
      <c r="D399" s="69"/>
      <c r="E399" s="69"/>
      <c r="F399" s="69"/>
      <c r="G399" s="56"/>
      <c r="H399" s="57"/>
      <c r="I399" s="68"/>
    </row>
    <row r="400" spans="1:9" x14ac:dyDescent="0.2">
      <c r="A400" s="69"/>
      <c r="B400" s="69"/>
      <c r="C400" s="69"/>
      <c r="D400" s="69"/>
      <c r="E400" s="69"/>
      <c r="F400" s="69"/>
      <c r="G400" s="56"/>
      <c r="H400" s="57"/>
      <c r="I400" s="68"/>
    </row>
    <row r="401" spans="1:9" x14ac:dyDescent="0.2">
      <c r="A401" s="69"/>
      <c r="B401" s="69"/>
      <c r="C401" s="69"/>
      <c r="D401" s="69"/>
      <c r="E401" s="69"/>
      <c r="F401" s="69"/>
      <c r="G401" s="56"/>
      <c r="H401" s="57"/>
      <c r="I401" s="68"/>
    </row>
    <row r="402" spans="1:9" x14ac:dyDescent="0.2">
      <c r="A402" s="69"/>
      <c r="B402" s="69"/>
      <c r="C402" s="69"/>
      <c r="D402" s="69"/>
      <c r="E402" s="69"/>
      <c r="F402" s="69"/>
      <c r="G402" s="56"/>
      <c r="H402" s="57"/>
      <c r="I402" s="68"/>
    </row>
    <row r="403" spans="1:9" x14ac:dyDescent="0.2">
      <c r="A403" s="69"/>
      <c r="B403" s="69"/>
      <c r="C403" s="69"/>
      <c r="D403" s="69"/>
      <c r="E403" s="69"/>
      <c r="F403" s="69"/>
      <c r="G403" s="56"/>
      <c r="H403" s="57"/>
      <c r="I403" s="68"/>
    </row>
    <row r="404" spans="1:9" x14ac:dyDescent="0.2">
      <c r="A404" s="69"/>
      <c r="B404" s="69"/>
      <c r="C404" s="69"/>
      <c r="D404" s="69"/>
      <c r="E404" s="69"/>
      <c r="F404" s="69"/>
      <c r="G404" s="56"/>
      <c r="H404" s="57"/>
      <c r="I404" s="68"/>
    </row>
    <row r="405" spans="1:9" x14ac:dyDescent="0.2">
      <c r="A405" s="69"/>
      <c r="B405" s="69"/>
      <c r="C405" s="69"/>
      <c r="D405" s="69"/>
      <c r="E405" s="69"/>
      <c r="F405" s="69"/>
      <c r="G405" s="56"/>
      <c r="H405" s="57"/>
      <c r="I405" s="68"/>
    </row>
    <row r="406" spans="1:9" x14ac:dyDescent="0.2">
      <c r="A406" s="69"/>
      <c r="B406" s="69"/>
      <c r="C406" s="69"/>
      <c r="D406" s="69"/>
      <c r="E406" s="69"/>
      <c r="F406" s="69"/>
      <c r="G406" s="56"/>
      <c r="H406" s="57"/>
      <c r="I406" s="68"/>
    </row>
    <row r="407" spans="1:9" x14ac:dyDescent="0.2">
      <c r="A407" s="69"/>
      <c r="B407" s="69"/>
      <c r="C407" s="69"/>
      <c r="D407" s="69"/>
      <c r="E407" s="69"/>
      <c r="F407" s="69"/>
      <c r="G407" s="56"/>
      <c r="H407" s="57"/>
      <c r="I407" s="68"/>
    </row>
    <row r="408" spans="1:9" x14ac:dyDescent="0.2">
      <c r="A408" s="69"/>
      <c r="B408" s="69"/>
      <c r="C408" s="69"/>
      <c r="D408" s="69"/>
      <c r="E408" s="69"/>
      <c r="F408" s="69"/>
      <c r="G408" s="56"/>
      <c r="H408" s="57"/>
      <c r="I408" s="68"/>
    </row>
    <row r="409" spans="1:9" x14ac:dyDescent="0.2">
      <c r="A409" s="69"/>
      <c r="B409" s="69"/>
      <c r="C409" s="69"/>
      <c r="D409" s="69"/>
      <c r="E409" s="69"/>
      <c r="F409" s="69"/>
      <c r="G409" s="56"/>
      <c r="H409" s="57"/>
      <c r="I409" s="68"/>
    </row>
    <row r="410" spans="1:9" x14ac:dyDescent="0.2">
      <c r="A410" s="69"/>
      <c r="B410" s="69"/>
      <c r="C410" s="69"/>
      <c r="D410" s="69"/>
      <c r="E410" s="69"/>
      <c r="F410" s="69"/>
      <c r="G410" s="56"/>
      <c r="H410" s="57"/>
      <c r="I410" s="68"/>
    </row>
    <row r="411" spans="1:9" x14ac:dyDescent="0.2">
      <c r="A411" s="69"/>
      <c r="B411" s="69"/>
      <c r="C411" s="69"/>
      <c r="D411" s="69"/>
      <c r="E411" s="69"/>
      <c r="F411" s="69"/>
      <c r="G411" s="56"/>
      <c r="H411" s="57"/>
      <c r="I411" s="68"/>
    </row>
    <row r="412" spans="1:9" x14ac:dyDescent="0.2">
      <c r="A412" s="69"/>
      <c r="B412" s="69"/>
      <c r="C412" s="69"/>
      <c r="D412" s="69"/>
      <c r="E412" s="69"/>
      <c r="F412" s="69"/>
      <c r="G412" s="56"/>
      <c r="H412" s="57"/>
      <c r="I412" s="68"/>
    </row>
    <row r="413" spans="1:9" x14ac:dyDescent="0.2">
      <c r="A413" s="69"/>
      <c r="B413" s="69"/>
      <c r="C413" s="69"/>
      <c r="D413" s="69"/>
      <c r="E413" s="69"/>
      <c r="F413" s="69"/>
      <c r="G413" s="56"/>
      <c r="H413" s="57"/>
      <c r="I413" s="68"/>
    </row>
    <row r="414" spans="1:9" x14ac:dyDescent="0.2">
      <c r="A414" s="69"/>
      <c r="B414" s="69"/>
      <c r="C414" s="69"/>
      <c r="D414" s="69"/>
      <c r="E414" s="69"/>
      <c r="F414" s="69"/>
      <c r="G414" s="56"/>
      <c r="H414" s="57"/>
      <c r="I414" s="68"/>
    </row>
    <row r="415" spans="1:9" x14ac:dyDescent="0.2">
      <c r="A415" s="69"/>
      <c r="B415" s="69"/>
      <c r="C415" s="69"/>
      <c r="D415" s="69"/>
      <c r="E415" s="69"/>
      <c r="F415" s="69"/>
      <c r="G415" s="56"/>
      <c r="H415" s="57"/>
      <c r="I415" s="68"/>
    </row>
    <row r="416" spans="1:9" x14ac:dyDescent="0.2">
      <c r="A416" s="69"/>
      <c r="B416" s="69"/>
      <c r="C416" s="69"/>
      <c r="D416" s="69"/>
      <c r="E416" s="69"/>
      <c r="F416" s="69"/>
      <c r="G416" s="56"/>
      <c r="H416" s="57"/>
      <c r="I416" s="68"/>
    </row>
    <row r="417" spans="1:9" x14ac:dyDescent="0.2">
      <c r="A417" s="69"/>
      <c r="B417" s="69"/>
      <c r="C417" s="69"/>
      <c r="D417" s="69"/>
      <c r="E417" s="69"/>
      <c r="F417" s="69"/>
      <c r="G417" s="56"/>
      <c r="H417" s="57"/>
      <c r="I417" s="68"/>
    </row>
    <row r="418" spans="1:9" x14ac:dyDescent="0.2">
      <c r="A418" s="69"/>
      <c r="B418" s="69"/>
      <c r="C418" s="69"/>
      <c r="D418" s="69"/>
      <c r="E418" s="69"/>
      <c r="F418" s="69"/>
      <c r="G418" s="56"/>
      <c r="H418" s="57"/>
      <c r="I418" s="68"/>
    </row>
    <row r="419" spans="1:9" x14ac:dyDescent="0.2">
      <c r="A419" s="69"/>
      <c r="B419" s="69"/>
      <c r="C419" s="69"/>
      <c r="D419" s="69"/>
      <c r="E419" s="69"/>
      <c r="F419" s="69"/>
      <c r="G419" s="56"/>
      <c r="H419" s="57"/>
      <c r="I419" s="68"/>
    </row>
    <row r="420" spans="1:9" x14ac:dyDescent="0.2">
      <c r="A420" s="69"/>
      <c r="B420" s="69"/>
      <c r="C420" s="69"/>
      <c r="D420" s="69"/>
      <c r="E420" s="69"/>
      <c r="F420" s="69"/>
      <c r="G420" s="56"/>
      <c r="H420" s="57"/>
      <c r="I420" s="68"/>
    </row>
    <row r="421" spans="1:9" x14ac:dyDescent="0.2">
      <c r="A421" s="69"/>
      <c r="B421" s="69"/>
      <c r="C421" s="69"/>
      <c r="D421" s="69"/>
      <c r="E421" s="69"/>
      <c r="F421" s="69"/>
      <c r="G421" s="56"/>
      <c r="H421" s="57"/>
      <c r="I421" s="68"/>
    </row>
    <row r="422" spans="1:9" x14ac:dyDescent="0.2">
      <c r="A422" s="69"/>
      <c r="B422" s="69"/>
      <c r="C422" s="69"/>
      <c r="D422" s="69"/>
      <c r="E422" s="69"/>
      <c r="F422" s="69"/>
      <c r="G422" s="56"/>
      <c r="H422" s="57"/>
      <c r="I422" s="68"/>
    </row>
    <row r="423" spans="1:9" x14ac:dyDescent="0.2">
      <c r="A423" s="69"/>
      <c r="B423" s="69"/>
      <c r="C423" s="69"/>
      <c r="D423" s="69"/>
      <c r="E423" s="69"/>
      <c r="F423" s="69"/>
      <c r="G423" s="56"/>
      <c r="H423" s="57"/>
      <c r="I423" s="68"/>
    </row>
    <row r="424" spans="1:9" x14ac:dyDescent="0.2">
      <c r="A424" s="69"/>
      <c r="B424" s="69"/>
      <c r="C424" s="69"/>
      <c r="D424" s="69"/>
      <c r="E424" s="69"/>
      <c r="F424" s="69"/>
      <c r="G424" s="56"/>
      <c r="H424" s="57"/>
      <c r="I424" s="68"/>
    </row>
    <row r="425" spans="1:9" x14ac:dyDescent="0.2">
      <c r="A425" s="69"/>
      <c r="B425" s="69"/>
      <c r="C425" s="69"/>
      <c r="D425" s="69"/>
      <c r="E425" s="69"/>
      <c r="F425" s="69"/>
      <c r="G425" s="56"/>
      <c r="H425" s="57"/>
      <c r="I425" s="68"/>
    </row>
    <row r="426" spans="1:9" x14ac:dyDescent="0.2">
      <c r="A426" s="69"/>
      <c r="B426" s="69"/>
      <c r="C426" s="69"/>
      <c r="D426" s="69"/>
      <c r="E426" s="69"/>
      <c r="F426" s="69"/>
      <c r="G426" s="56"/>
      <c r="H426" s="57"/>
      <c r="I426" s="68"/>
    </row>
    <row r="427" spans="1:9" x14ac:dyDescent="0.2">
      <c r="A427" s="69"/>
      <c r="B427" s="69"/>
      <c r="C427" s="69"/>
      <c r="D427" s="69"/>
      <c r="E427" s="69"/>
      <c r="F427" s="69"/>
      <c r="G427" s="56"/>
      <c r="H427" s="57"/>
      <c r="I427" s="68"/>
    </row>
    <row r="428" spans="1:9" x14ac:dyDescent="0.2">
      <c r="A428" s="69"/>
      <c r="B428" s="69"/>
      <c r="C428" s="69"/>
      <c r="D428" s="69"/>
      <c r="E428" s="69"/>
      <c r="F428" s="69"/>
      <c r="G428" s="56"/>
      <c r="H428" s="57"/>
      <c r="I428" s="68"/>
    </row>
    <row r="429" spans="1:9" x14ac:dyDescent="0.2">
      <c r="A429" s="69"/>
      <c r="B429" s="69"/>
      <c r="C429" s="69"/>
      <c r="D429" s="69"/>
      <c r="E429" s="69"/>
      <c r="F429" s="69"/>
      <c r="G429" s="56"/>
      <c r="H429" s="57"/>
      <c r="I429" s="68"/>
    </row>
    <row r="430" spans="1:9" x14ac:dyDescent="0.2">
      <c r="A430" s="69"/>
      <c r="B430" s="69"/>
      <c r="C430" s="69"/>
      <c r="D430" s="69"/>
      <c r="E430" s="69"/>
      <c r="F430" s="69"/>
      <c r="G430" s="56"/>
      <c r="H430" s="57"/>
      <c r="I430" s="68"/>
    </row>
    <row r="431" spans="1:9" x14ac:dyDescent="0.2">
      <c r="A431" s="69"/>
      <c r="B431" s="69"/>
      <c r="C431" s="69"/>
      <c r="D431" s="69"/>
      <c r="E431" s="69"/>
      <c r="F431" s="69"/>
      <c r="G431" s="56"/>
      <c r="H431" s="57"/>
      <c r="I431" s="68"/>
    </row>
    <row r="432" spans="1:9" x14ac:dyDescent="0.2">
      <c r="A432" s="69"/>
      <c r="B432" s="69"/>
      <c r="C432" s="69"/>
      <c r="D432" s="69"/>
      <c r="E432" s="69"/>
      <c r="F432" s="69"/>
      <c r="G432" s="56"/>
      <c r="H432" s="57"/>
      <c r="I432" s="68"/>
    </row>
    <row r="433" spans="1:9" x14ac:dyDescent="0.2">
      <c r="A433" s="69"/>
      <c r="B433" s="69"/>
      <c r="C433" s="69"/>
      <c r="D433" s="69"/>
      <c r="E433" s="69"/>
      <c r="F433" s="69"/>
      <c r="G433" s="56"/>
      <c r="H433" s="57"/>
      <c r="I433" s="68"/>
    </row>
    <row r="434" spans="1:9" x14ac:dyDescent="0.2">
      <c r="A434" s="69"/>
      <c r="B434" s="69"/>
      <c r="C434" s="69"/>
      <c r="D434" s="69"/>
      <c r="E434" s="69"/>
      <c r="F434" s="69"/>
      <c r="G434" s="56"/>
      <c r="H434" s="57"/>
      <c r="I434" s="68"/>
    </row>
    <row r="435" spans="1:9" x14ac:dyDescent="0.2">
      <c r="A435" s="69"/>
      <c r="B435" s="69"/>
      <c r="C435" s="69"/>
      <c r="D435" s="69"/>
      <c r="E435" s="69"/>
      <c r="F435" s="69"/>
      <c r="G435" s="56"/>
      <c r="H435" s="57"/>
      <c r="I435" s="68"/>
    </row>
    <row r="436" spans="1:9" x14ac:dyDescent="0.2">
      <c r="A436" s="69"/>
      <c r="B436" s="69"/>
      <c r="C436" s="69"/>
      <c r="D436" s="69"/>
      <c r="E436" s="69"/>
      <c r="F436" s="69"/>
      <c r="G436" s="56"/>
      <c r="H436" s="57"/>
      <c r="I436" s="68"/>
    </row>
    <row r="437" spans="1:9" x14ac:dyDescent="0.2">
      <c r="A437" s="69"/>
      <c r="B437" s="69"/>
      <c r="C437" s="69"/>
      <c r="D437" s="69"/>
      <c r="E437" s="69"/>
      <c r="F437" s="69"/>
      <c r="G437" s="56"/>
      <c r="H437" s="57"/>
      <c r="I437" s="68"/>
    </row>
    <row r="438" spans="1:9" x14ac:dyDescent="0.2">
      <c r="A438" s="69"/>
      <c r="B438" s="69"/>
      <c r="C438" s="69"/>
      <c r="D438" s="69"/>
      <c r="E438" s="69"/>
      <c r="F438" s="69"/>
      <c r="G438" s="56"/>
      <c r="H438" s="57"/>
      <c r="I438" s="68"/>
    </row>
    <row r="439" spans="1:9" x14ac:dyDescent="0.2">
      <c r="A439" s="69"/>
      <c r="B439" s="69"/>
      <c r="C439" s="69"/>
      <c r="D439" s="69"/>
      <c r="E439" s="69"/>
      <c r="F439" s="69"/>
      <c r="G439" s="56"/>
      <c r="H439" s="57"/>
      <c r="I439" s="68"/>
    </row>
    <row r="440" spans="1:9" x14ac:dyDescent="0.2">
      <c r="A440" s="69"/>
      <c r="B440" s="69"/>
      <c r="C440" s="69"/>
      <c r="D440" s="69"/>
      <c r="E440" s="69"/>
      <c r="F440" s="69"/>
      <c r="G440" s="56"/>
      <c r="H440" s="57"/>
      <c r="I440" s="68"/>
    </row>
    <row r="441" spans="1:9" x14ac:dyDescent="0.2">
      <c r="A441" s="69"/>
      <c r="B441" s="69"/>
      <c r="C441" s="69"/>
      <c r="D441" s="69"/>
      <c r="E441" s="69"/>
      <c r="F441" s="69"/>
      <c r="G441" s="56"/>
      <c r="H441" s="57"/>
      <c r="I441" s="68"/>
    </row>
    <row r="442" spans="1:9" x14ac:dyDescent="0.2">
      <c r="A442" s="69"/>
      <c r="B442" s="69"/>
      <c r="C442" s="69"/>
      <c r="D442" s="69"/>
      <c r="E442" s="69"/>
      <c r="F442" s="69"/>
      <c r="G442" s="56"/>
      <c r="H442" s="57"/>
      <c r="I442" s="68"/>
    </row>
    <row r="443" spans="1:9" x14ac:dyDescent="0.2">
      <c r="A443" s="69"/>
      <c r="B443" s="69"/>
      <c r="C443" s="69"/>
      <c r="D443" s="69"/>
      <c r="E443" s="69"/>
      <c r="F443" s="69"/>
      <c r="G443" s="56"/>
      <c r="H443" s="57"/>
      <c r="I443" s="68"/>
    </row>
    <row r="444" spans="1:9" x14ac:dyDescent="0.2">
      <c r="A444" s="69"/>
      <c r="B444" s="69"/>
      <c r="C444" s="69"/>
      <c r="D444" s="69"/>
      <c r="E444" s="69"/>
      <c r="F444" s="69"/>
      <c r="G444" s="56"/>
      <c r="H444" s="57"/>
      <c r="I444" s="68"/>
    </row>
    <row r="445" spans="1:9" x14ac:dyDescent="0.2">
      <c r="A445" s="69"/>
      <c r="B445" s="69"/>
      <c r="C445" s="69"/>
      <c r="D445" s="69"/>
      <c r="E445" s="69"/>
      <c r="F445" s="69"/>
      <c r="G445" s="56"/>
      <c r="H445" s="57"/>
      <c r="I445" s="68"/>
    </row>
    <row r="446" spans="1:9" x14ac:dyDescent="0.2">
      <c r="A446" s="69"/>
      <c r="B446" s="69"/>
      <c r="C446" s="69"/>
      <c r="D446" s="69"/>
      <c r="E446" s="69"/>
      <c r="F446" s="69"/>
      <c r="G446" s="56"/>
      <c r="H446" s="57"/>
      <c r="I446" s="68"/>
    </row>
    <row r="447" spans="1:9" x14ac:dyDescent="0.2">
      <c r="A447" s="69"/>
      <c r="B447" s="69"/>
      <c r="C447" s="69"/>
      <c r="D447" s="69"/>
      <c r="E447" s="69"/>
      <c r="F447" s="69"/>
      <c r="G447" s="56"/>
      <c r="H447" s="57"/>
      <c r="I447" s="68"/>
    </row>
    <row r="448" spans="1:9" x14ac:dyDescent="0.2">
      <c r="A448" s="69"/>
      <c r="B448" s="69"/>
      <c r="C448" s="69"/>
      <c r="D448" s="69"/>
      <c r="E448" s="69"/>
      <c r="F448" s="69"/>
      <c r="G448" s="56"/>
      <c r="H448" s="57"/>
      <c r="I448" s="68"/>
    </row>
    <row r="449" spans="1:9" x14ac:dyDescent="0.2">
      <c r="A449" s="69"/>
      <c r="B449" s="69"/>
      <c r="C449" s="69"/>
      <c r="D449" s="69"/>
      <c r="E449" s="69"/>
      <c r="F449" s="69"/>
      <c r="G449" s="56"/>
      <c r="H449" s="57"/>
      <c r="I449" s="68"/>
    </row>
    <row r="450" spans="1:9" x14ac:dyDescent="0.2">
      <c r="A450" s="69"/>
      <c r="B450" s="69"/>
      <c r="C450" s="69"/>
      <c r="D450" s="69"/>
      <c r="E450" s="69"/>
      <c r="F450" s="69"/>
      <c r="G450" s="56"/>
      <c r="H450" s="57"/>
      <c r="I450" s="68"/>
    </row>
    <row r="451" spans="1:9" x14ac:dyDescent="0.2">
      <c r="A451" s="69"/>
      <c r="B451" s="69"/>
      <c r="C451" s="69"/>
      <c r="D451" s="69"/>
      <c r="E451" s="69"/>
      <c r="F451" s="69"/>
      <c r="G451" s="56"/>
      <c r="H451" s="57"/>
      <c r="I451" s="68"/>
    </row>
    <row r="452" spans="1:9" x14ac:dyDescent="0.2">
      <c r="A452" s="69"/>
      <c r="B452" s="69"/>
      <c r="C452" s="69"/>
      <c r="D452" s="69"/>
      <c r="E452" s="69"/>
      <c r="F452" s="69"/>
      <c r="G452" s="56"/>
      <c r="H452" s="57"/>
      <c r="I452" s="68"/>
    </row>
    <row r="453" spans="1:9" x14ac:dyDescent="0.2">
      <c r="A453" s="69"/>
      <c r="B453" s="69"/>
      <c r="C453" s="69"/>
      <c r="D453" s="69"/>
      <c r="E453" s="69"/>
      <c r="F453" s="69"/>
      <c r="G453" s="56"/>
      <c r="H453" s="57"/>
      <c r="I453" s="68"/>
    </row>
    <row r="454" spans="1:9" x14ac:dyDescent="0.2">
      <c r="A454" s="69"/>
      <c r="B454" s="69"/>
      <c r="C454" s="69"/>
      <c r="D454" s="69"/>
      <c r="E454" s="69"/>
      <c r="F454" s="69"/>
      <c r="G454" s="56"/>
      <c r="H454" s="57"/>
      <c r="I454" s="68"/>
    </row>
    <row r="455" spans="1:9" x14ac:dyDescent="0.2">
      <c r="A455" s="69"/>
      <c r="B455" s="69"/>
      <c r="C455" s="69"/>
      <c r="D455" s="69"/>
      <c r="E455" s="69"/>
      <c r="F455" s="69"/>
      <c r="G455" s="56"/>
      <c r="H455" s="57"/>
      <c r="I455" s="68"/>
    </row>
    <row r="456" spans="1:9" x14ac:dyDescent="0.2">
      <c r="A456" s="69"/>
      <c r="B456" s="69"/>
      <c r="C456" s="69"/>
      <c r="D456" s="69"/>
      <c r="E456" s="69"/>
      <c r="F456" s="69"/>
      <c r="G456" s="56"/>
      <c r="H456" s="57"/>
      <c r="I456" s="68"/>
    </row>
    <row r="457" spans="1:9" x14ac:dyDescent="0.2">
      <c r="A457" s="69"/>
      <c r="B457" s="69"/>
      <c r="C457" s="69"/>
      <c r="D457" s="69"/>
      <c r="E457" s="69"/>
      <c r="F457" s="69"/>
      <c r="G457" s="56"/>
      <c r="H457" s="57"/>
      <c r="I457" s="68"/>
    </row>
    <row r="458" spans="1:9" x14ac:dyDescent="0.2">
      <c r="A458" s="69"/>
      <c r="B458" s="69"/>
      <c r="C458" s="69"/>
      <c r="D458" s="69"/>
      <c r="E458" s="69"/>
      <c r="F458" s="69"/>
      <c r="G458" s="56"/>
      <c r="H458" s="57"/>
      <c r="I458" s="68"/>
    </row>
    <row r="459" spans="1:9" x14ac:dyDescent="0.2">
      <c r="A459" s="69"/>
      <c r="B459" s="69"/>
      <c r="C459" s="69"/>
      <c r="D459" s="69"/>
      <c r="E459" s="69"/>
      <c r="F459" s="69"/>
      <c r="G459" s="56"/>
      <c r="H459" s="57"/>
      <c r="I459" s="68"/>
    </row>
    <row r="460" spans="1:9" x14ac:dyDescent="0.2">
      <c r="A460" s="69"/>
      <c r="B460" s="69"/>
      <c r="C460" s="69"/>
      <c r="D460" s="69"/>
      <c r="E460" s="69"/>
      <c r="F460" s="69"/>
      <c r="G460" s="56"/>
      <c r="H460" s="57"/>
      <c r="I460" s="68"/>
    </row>
    <row r="461" spans="1:9" x14ac:dyDescent="0.2">
      <c r="A461" s="69"/>
      <c r="B461" s="69"/>
      <c r="C461" s="69"/>
      <c r="D461" s="69"/>
      <c r="E461" s="69"/>
      <c r="F461" s="69"/>
      <c r="G461" s="56"/>
      <c r="H461" s="57"/>
      <c r="I461" s="68"/>
    </row>
    <row r="462" spans="1:9" x14ac:dyDescent="0.2">
      <c r="A462" s="69"/>
      <c r="B462" s="69"/>
      <c r="C462" s="69"/>
      <c r="D462" s="69"/>
      <c r="E462" s="69"/>
      <c r="F462" s="69"/>
      <c r="G462" s="56"/>
      <c r="H462" s="57"/>
      <c r="I462" s="68"/>
    </row>
    <row r="463" spans="1:9" x14ac:dyDescent="0.2">
      <c r="A463" s="69"/>
      <c r="B463" s="69"/>
      <c r="C463" s="69"/>
      <c r="D463" s="69"/>
      <c r="E463" s="69"/>
      <c r="F463" s="69"/>
      <c r="G463" s="56"/>
      <c r="H463" s="57"/>
      <c r="I463" s="68"/>
    </row>
    <row r="464" spans="1:9" x14ac:dyDescent="0.2">
      <c r="A464" s="69"/>
      <c r="B464" s="69"/>
      <c r="C464" s="69"/>
      <c r="D464" s="69"/>
      <c r="E464" s="69"/>
      <c r="F464" s="69"/>
      <c r="G464" s="56"/>
      <c r="H464" s="57"/>
      <c r="I464" s="68"/>
    </row>
    <row r="465" spans="1:9" x14ac:dyDescent="0.2">
      <c r="A465" s="69"/>
      <c r="B465" s="69"/>
      <c r="C465" s="69"/>
      <c r="D465" s="69"/>
      <c r="E465" s="69"/>
      <c r="F465" s="69"/>
      <c r="G465" s="56"/>
      <c r="H465" s="57"/>
      <c r="I465" s="68"/>
    </row>
    <row r="466" spans="1:9" x14ac:dyDescent="0.2">
      <c r="A466" s="69"/>
      <c r="B466" s="69"/>
      <c r="C466" s="69"/>
      <c r="D466" s="69"/>
      <c r="E466" s="69"/>
      <c r="F466" s="69"/>
      <c r="G466" s="56"/>
      <c r="H466" s="57"/>
      <c r="I466" s="68"/>
    </row>
    <row r="467" spans="1:9" x14ac:dyDescent="0.2">
      <c r="A467" s="69"/>
      <c r="B467" s="69"/>
      <c r="C467" s="69"/>
      <c r="D467" s="69"/>
      <c r="E467" s="69"/>
      <c r="F467" s="69"/>
      <c r="G467" s="56"/>
      <c r="H467" s="57"/>
      <c r="I467" s="68"/>
    </row>
    <row r="468" spans="1:9" x14ac:dyDescent="0.2">
      <c r="A468" s="69"/>
      <c r="B468" s="69"/>
      <c r="C468" s="69"/>
      <c r="D468" s="69"/>
      <c r="E468" s="69"/>
      <c r="F468" s="69"/>
      <c r="G468" s="56"/>
      <c r="H468" s="57"/>
      <c r="I468" s="68"/>
    </row>
    <row r="469" spans="1:9" x14ac:dyDescent="0.2">
      <c r="A469" s="69"/>
      <c r="B469" s="69"/>
      <c r="C469" s="69"/>
      <c r="D469" s="69"/>
      <c r="E469" s="69"/>
      <c r="F469" s="69"/>
      <c r="G469" s="56"/>
      <c r="H469" s="57"/>
      <c r="I469" s="68"/>
    </row>
    <row r="470" spans="1:9" x14ac:dyDescent="0.2">
      <c r="A470" s="69"/>
      <c r="B470" s="69"/>
      <c r="C470" s="69"/>
      <c r="D470" s="69"/>
      <c r="E470" s="69"/>
      <c r="F470" s="69"/>
      <c r="G470" s="56"/>
      <c r="H470" s="57"/>
      <c r="I470" s="68"/>
    </row>
    <row r="471" spans="1:9" x14ac:dyDescent="0.2">
      <c r="A471" s="69"/>
      <c r="B471" s="69"/>
      <c r="C471" s="69"/>
      <c r="D471" s="69"/>
      <c r="E471" s="69"/>
      <c r="F471" s="69"/>
      <c r="G471" s="56"/>
      <c r="H471" s="57"/>
      <c r="I471" s="68"/>
    </row>
    <row r="472" spans="1:9" x14ac:dyDescent="0.2">
      <c r="A472" s="69"/>
      <c r="B472" s="69"/>
      <c r="C472" s="69"/>
      <c r="D472" s="69"/>
      <c r="E472" s="69"/>
      <c r="F472" s="69"/>
      <c r="G472" s="56"/>
      <c r="H472" s="57"/>
      <c r="I472" s="68"/>
    </row>
    <row r="473" spans="1:9" x14ac:dyDescent="0.2">
      <c r="A473" s="69"/>
      <c r="B473" s="69"/>
      <c r="C473" s="69"/>
      <c r="D473" s="69"/>
      <c r="E473" s="69"/>
      <c r="F473" s="69"/>
      <c r="G473" s="56"/>
      <c r="H473" s="57"/>
      <c r="I473" s="68"/>
    </row>
    <row r="474" spans="1:9" x14ac:dyDescent="0.2">
      <c r="A474" s="69"/>
      <c r="B474" s="69"/>
      <c r="C474" s="69"/>
      <c r="D474" s="69"/>
      <c r="E474" s="69"/>
      <c r="F474" s="69"/>
      <c r="G474" s="56"/>
      <c r="H474" s="57"/>
      <c r="I474" s="68"/>
    </row>
    <row r="475" spans="1:9" x14ac:dyDescent="0.2">
      <c r="A475" s="69"/>
      <c r="B475" s="69"/>
      <c r="C475" s="69"/>
      <c r="D475" s="69"/>
      <c r="E475" s="69"/>
      <c r="F475" s="69"/>
      <c r="G475" s="56"/>
      <c r="H475" s="57"/>
      <c r="I475" s="68"/>
    </row>
    <row r="476" spans="1:9" x14ac:dyDescent="0.2">
      <c r="A476" s="69"/>
      <c r="B476" s="69"/>
      <c r="C476" s="69"/>
      <c r="D476" s="69"/>
      <c r="E476" s="69"/>
      <c r="F476" s="69"/>
      <c r="G476" s="56"/>
      <c r="H476" s="57"/>
      <c r="I476" s="68"/>
    </row>
    <row r="477" spans="1:9" x14ac:dyDescent="0.2">
      <c r="A477" s="69"/>
      <c r="B477" s="69"/>
      <c r="C477" s="69"/>
      <c r="D477" s="69"/>
      <c r="E477" s="69"/>
      <c r="F477" s="69"/>
      <c r="G477" s="56"/>
      <c r="H477" s="57"/>
      <c r="I477" s="68"/>
    </row>
    <row r="478" spans="1:9" x14ac:dyDescent="0.2">
      <c r="A478" s="69"/>
      <c r="B478" s="69"/>
      <c r="C478" s="69"/>
      <c r="D478" s="69"/>
      <c r="E478" s="69"/>
      <c r="F478" s="69"/>
      <c r="G478" s="56"/>
      <c r="H478" s="57"/>
      <c r="I478" s="68"/>
    </row>
    <row r="479" spans="1:9" x14ac:dyDescent="0.2">
      <c r="A479" s="69"/>
      <c r="B479" s="69"/>
      <c r="C479" s="69"/>
      <c r="D479" s="69"/>
      <c r="E479" s="69"/>
      <c r="F479" s="69"/>
      <c r="G479" s="56"/>
      <c r="H479" s="57"/>
      <c r="I479" s="68"/>
    </row>
    <row r="480" spans="1:9" x14ac:dyDescent="0.2">
      <c r="A480" s="69"/>
      <c r="B480" s="69"/>
      <c r="C480" s="69"/>
      <c r="D480" s="69"/>
      <c r="E480" s="69"/>
      <c r="F480" s="69"/>
      <c r="G480" s="56"/>
      <c r="H480" s="57"/>
      <c r="I480" s="68"/>
    </row>
    <row r="481" spans="1:9" x14ac:dyDescent="0.2">
      <c r="A481" s="69"/>
      <c r="B481" s="69"/>
      <c r="C481" s="69"/>
      <c r="D481" s="69"/>
      <c r="E481" s="69"/>
      <c r="F481" s="69"/>
      <c r="G481" s="56"/>
      <c r="H481" s="57"/>
      <c r="I481" s="68"/>
    </row>
    <row r="482" spans="1:9" x14ac:dyDescent="0.2">
      <c r="A482" s="69"/>
      <c r="B482" s="69"/>
      <c r="C482" s="69"/>
      <c r="D482" s="69"/>
      <c r="E482" s="69"/>
      <c r="F482" s="69"/>
      <c r="G482" s="56"/>
      <c r="H482" s="57"/>
      <c r="I482" s="68"/>
    </row>
    <row r="483" spans="1:9" x14ac:dyDescent="0.2">
      <c r="A483" s="69"/>
      <c r="B483" s="69"/>
      <c r="C483" s="69"/>
      <c r="D483" s="69"/>
      <c r="E483" s="69"/>
      <c r="F483" s="69"/>
      <c r="G483" s="56"/>
      <c r="H483" s="57"/>
      <c r="I483" s="68"/>
    </row>
    <row r="484" spans="1:9" x14ac:dyDescent="0.2">
      <c r="A484" s="69"/>
      <c r="B484" s="69"/>
      <c r="C484" s="69"/>
      <c r="D484" s="69"/>
      <c r="E484" s="69"/>
      <c r="F484" s="69"/>
      <c r="G484" s="56"/>
      <c r="H484" s="57"/>
      <c r="I484" s="68"/>
    </row>
    <row r="485" spans="1:9" x14ac:dyDescent="0.2">
      <c r="A485" s="69"/>
      <c r="B485" s="69"/>
      <c r="C485" s="69"/>
      <c r="D485" s="69"/>
      <c r="E485" s="69"/>
      <c r="F485" s="69"/>
      <c r="G485" s="56"/>
      <c r="H485" s="57"/>
      <c r="I485" s="68"/>
    </row>
    <row r="486" spans="1:9" x14ac:dyDescent="0.2">
      <c r="A486" s="69"/>
      <c r="B486" s="69"/>
      <c r="C486" s="69"/>
      <c r="D486" s="69"/>
      <c r="E486" s="69"/>
      <c r="F486" s="69"/>
      <c r="G486" s="56"/>
      <c r="H486" s="57"/>
      <c r="I486" s="68"/>
    </row>
    <row r="487" spans="1:9" x14ac:dyDescent="0.2">
      <c r="A487" s="69"/>
      <c r="B487" s="69"/>
      <c r="C487" s="69"/>
      <c r="D487" s="69"/>
      <c r="E487" s="69"/>
      <c r="F487" s="69"/>
      <c r="G487" s="56"/>
      <c r="H487" s="57"/>
      <c r="I487" s="68"/>
    </row>
    <row r="488" spans="1:9" x14ac:dyDescent="0.2">
      <c r="A488" s="69"/>
      <c r="B488" s="69"/>
      <c r="C488" s="69"/>
      <c r="D488" s="69"/>
      <c r="E488" s="69"/>
      <c r="F488" s="69"/>
      <c r="G488" s="56"/>
      <c r="H488" s="57"/>
      <c r="I488" s="68"/>
    </row>
    <row r="489" spans="1:9" x14ac:dyDescent="0.2">
      <c r="A489" s="69"/>
      <c r="B489" s="69"/>
      <c r="C489" s="69"/>
      <c r="D489" s="69"/>
      <c r="E489" s="69"/>
      <c r="F489" s="69"/>
      <c r="G489" s="56"/>
      <c r="H489" s="57"/>
      <c r="I489" s="68"/>
    </row>
    <row r="490" spans="1:9" x14ac:dyDescent="0.2">
      <c r="A490" s="69"/>
      <c r="B490" s="69"/>
      <c r="C490" s="69"/>
      <c r="D490" s="69"/>
      <c r="E490" s="69"/>
      <c r="F490" s="69"/>
      <c r="G490" s="56"/>
      <c r="H490" s="57"/>
      <c r="I490" s="68"/>
    </row>
    <row r="491" spans="1:9" x14ac:dyDescent="0.2">
      <c r="A491" s="69"/>
      <c r="B491" s="69"/>
      <c r="C491" s="69"/>
      <c r="D491" s="69"/>
      <c r="E491" s="69"/>
      <c r="F491" s="69"/>
      <c r="G491" s="56"/>
      <c r="H491" s="57"/>
      <c r="I491" s="68"/>
    </row>
    <row r="492" spans="1:9" x14ac:dyDescent="0.2">
      <c r="A492" s="69"/>
      <c r="B492" s="69"/>
      <c r="C492" s="69"/>
      <c r="D492" s="69"/>
      <c r="E492" s="69"/>
      <c r="F492" s="69"/>
      <c r="G492" s="56"/>
      <c r="H492" s="57"/>
      <c r="I492" s="68"/>
    </row>
    <row r="493" spans="1:9" x14ac:dyDescent="0.2">
      <c r="A493" s="69"/>
      <c r="B493" s="69"/>
      <c r="C493" s="69"/>
      <c r="D493" s="69"/>
      <c r="E493" s="69"/>
      <c r="F493" s="69"/>
      <c r="G493" s="56"/>
      <c r="H493" s="57"/>
      <c r="I493" s="68"/>
    </row>
    <row r="494" spans="1:9" x14ac:dyDescent="0.2">
      <c r="A494" s="69"/>
      <c r="B494" s="69"/>
      <c r="C494" s="69"/>
      <c r="D494" s="69"/>
      <c r="E494" s="69"/>
      <c r="F494" s="69"/>
      <c r="G494" s="56"/>
      <c r="H494" s="57"/>
      <c r="I494" s="68"/>
    </row>
    <row r="495" spans="1:9" x14ac:dyDescent="0.2">
      <c r="A495" s="69"/>
      <c r="B495" s="69"/>
      <c r="C495" s="69"/>
      <c r="D495" s="69"/>
      <c r="E495" s="69"/>
      <c r="F495" s="69"/>
      <c r="G495" s="56"/>
      <c r="H495" s="57"/>
      <c r="I495" s="68"/>
    </row>
    <row r="496" spans="1:9" x14ac:dyDescent="0.2">
      <c r="A496" s="69"/>
      <c r="B496" s="69"/>
      <c r="C496" s="69"/>
      <c r="D496" s="69"/>
      <c r="E496" s="69"/>
      <c r="F496" s="69"/>
      <c r="G496" s="56"/>
      <c r="H496" s="57"/>
      <c r="I496" s="68"/>
    </row>
    <row r="497" spans="1:9" x14ac:dyDescent="0.2">
      <c r="A497" s="69"/>
      <c r="B497" s="69"/>
      <c r="C497" s="69"/>
      <c r="D497" s="69"/>
      <c r="E497" s="69"/>
      <c r="F497" s="69"/>
      <c r="G497" s="56"/>
      <c r="H497" s="57"/>
      <c r="I497" s="68"/>
    </row>
    <row r="498" spans="1:9" x14ac:dyDescent="0.2">
      <c r="A498" s="69"/>
      <c r="B498" s="69"/>
      <c r="C498" s="69"/>
      <c r="D498" s="69"/>
      <c r="E498" s="69"/>
      <c r="F498" s="69"/>
      <c r="G498" s="56"/>
      <c r="H498" s="57"/>
      <c r="I498" s="68"/>
    </row>
    <row r="499" spans="1:9" x14ac:dyDescent="0.2">
      <c r="A499" s="69"/>
      <c r="B499" s="69"/>
      <c r="C499" s="69"/>
      <c r="D499" s="69"/>
      <c r="E499" s="69"/>
      <c r="F499" s="69"/>
      <c r="G499" s="56"/>
      <c r="H499" s="57"/>
      <c r="I499" s="68"/>
    </row>
    <row r="500" spans="1:9" x14ac:dyDescent="0.2">
      <c r="A500" s="69"/>
      <c r="B500" s="69"/>
      <c r="C500" s="69"/>
      <c r="D500" s="69"/>
      <c r="E500" s="69"/>
      <c r="F500" s="69"/>
      <c r="G500" s="56"/>
      <c r="H500" s="57"/>
      <c r="I500" s="68"/>
    </row>
    <row r="501" spans="1:9" x14ac:dyDescent="0.2">
      <c r="A501" s="69"/>
      <c r="B501" s="69"/>
      <c r="C501" s="69"/>
      <c r="D501" s="69"/>
      <c r="E501" s="69"/>
      <c r="F501" s="69"/>
      <c r="G501" s="56"/>
      <c r="H501" s="57"/>
      <c r="I501" s="68"/>
    </row>
    <row r="502" spans="1:9" x14ac:dyDescent="0.2">
      <c r="A502" s="69"/>
      <c r="B502" s="69"/>
      <c r="C502" s="69"/>
      <c r="D502" s="69"/>
      <c r="E502" s="69"/>
      <c r="F502" s="69"/>
      <c r="G502" s="56"/>
      <c r="H502" s="57"/>
      <c r="I502" s="68"/>
    </row>
    <row r="503" spans="1:9" x14ac:dyDescent="0.2">
      <c r="A503" s="69"/>
      <c r="B503" s="69"/>
      <c r="C503" s="69"/>
      <c r="D503" s="69"/>
      <c r="E503" s="69"/>
      <c r="F503" s="69"/>
      <c r="G503" s="56"/>
      <c r="H503" s="57"/>
      <c r="I503" s="68"/>
    </row>
    <row r="504" spans="1:9" x14ac:dyDescent="0.2">
      <c r="A504" s="69"/>
      <c r="B504" s="69"/>
      <c r="C504" s="69"/>
      <c r="D504" s="69"/>
      <c r="E504" s="69"/>
      <c r="F504" s="69"/>
      <c r="G504" s="56"/>
      <c r="H504" s="57"/>
      <c r="I504" s="68"/>
    </row>
    <row r="505" spans="1:9" x14ac:dyDescent="0.2">
      <c r="A505" s="69"/>
      <c r="B505" s="69"/>
      <c r="C505" s="69"/>
      <c r="D505" s="69"/>
      <c r="E505" s="69"/>
      <c r="F505" s="69"/>
      <c r="G505" s="56"/>
      <c r="H505" s="57"/>
      <c r="I505" s="68"/>
    </row>
    <row r="506" spans="1:9" x14ac:dyDescent="0.2">
      <c r="A506" s="69"/>
      <c r="B506" s="69"/>
      <c r="C506" s="69"/>
      <c r="D506" s="69"/>
      <c r="E506" s="69"/>
      <c r="F506" s="69"/>
      <c r="G506" s="56"/>
      <c r="H506" s="57"/>
      <c r="I506" s="68"/>
    </row>
    <row r="507" spans="1:9" x14ac:dyDescent="0.2">
      <c r="A507" s="69"/>
      <c r="B507" s="69"/>
      <c r="C507" s="69"/>
      <c r="D507" s="69"/>
      <c r="E507" s="69"/>
      <c r="F507" s="69"/>
      <c r="G507" s="56"/>
      <c r="H507" s="57"/>
      <c r="I507" s="68"/>
    </row>
    <row r="508" spans="1:9" x14ac:dyDescent="0.2">
      <c r="A508" s="69"/>
      <c r="B508" s="69"/>
      <c r="C508" s="69"/>
      <c r="D508" s="69"/>
      <c r="E508" s="69"/>
      <c r="F508" s="69"/>
      <c r="G508" s="56"/>
      <c r="H508" s="57"/>
      <c r="I508" s="68"/>
    </row>
    <row r="509" spans="1:9" x14ac:dyDescent="0.2">
      <c r="A509" s="69"/>
      <c r="B509" s="69"/>
      <c r="C509" s="69"/>
      <c r="D509" s="69"/>
      <c r="E509" s="69"/>
      <c r="F509" s="69"/>
      <c r="G509" s="56"/>
      <c r="H509" s="57"/>
      <c r="I509" s="68"/>
    </row>
    <row r="510" spans="1:9" x14ac:dyDescent="0.2">
      <c r="A510" s="69"/>
      <c r="B510" s="69"/>
      <c r="C510" s="69"/>
      <c r="D510" s="69"/>
      <c r="E510" s="69"/>
      <c r="F510" s="69"/>
      <c r="G510" s="56"/>
      <c r="H510" s="57"/>
      <c r="I510" s="68"/>
    </row>
    <row r="511" spans="1:9" x14ac:dyDescent="0.2">
      <c r="A511" s="69"/>
      <c r="B511" s="69"/>
      <c r="C511" s="69"/>
      <c r="D511" s="69"/>
      <c r="E511" s="69"/>
      <c r="F511" s="69"/>
      <c r="G511" s="56"/>
      <c r="H511" s="57"/>
      <c r="I511" s="68"/>
    </row>
    <row r="512" spans="1:9" x14ac:dyDescent="0.2">
      <c r="A512" s="69"/>
      <c r="B512" s="69"/>
      <c r="C512" s="69"/>
      <c r="D512" s="69"/>
      <c r="E512" s="69"/>
      <c r="F512" s="69"/>
      <c r="G512" s="56"/>
      <c r="H512" s="57"/>
      <c r="I512" s="68"/>
    </row>
    <row r="513" spans="1:9" x14ac:dyDescent="0.2">
      <c r="A513" s="69"/>
      <c r="B513" s="69"/>
      <c r="C513" s="69"/>
      <c r="D513" s="69"/>
      <c r="E513" s="69"/>
      <c r="F513" s="69"/>
      <c r="G513" s="56"/>
      <c r="H513" s="57"/>
      <c r="I513" s="68"/>
    </row>
    <row r="514" spans="1:9" x14ac:dyDescent="0.2">
      <c r="A514" s="69"/>
      <c r="B514" s="69"/>
      <c r="C514" s="69"/>
      <c r="D514" s="69"/>
      <c r="E514" s="69"/>
      <c r="F514" s="69"/>
      <c r="G514" s="56"/>
      <c r="H514" s="57"/>
      <c r="I514" s="68"/>
    </row>
    <row r="515" spans="1:9" x14ac:dyDescent="0.2">
      <c r="A515" s="69"/>
      <c r="B515" s="69"/>
      <c r="C515" s="69"/>
      <c r="D515" s="69"/>
      <c r="E515" s="69"/>
      <c r="F515" s="69"/>
      <c r="G515" s="56"/>
      <c r="H515" s="57"/>
      <c r="I515" s="68"/>
    </row>
    <row r="516" spans="1:9" x14ac:dyDescent="0.2">
      <c r="A516" s="69"/>
      <c r="B516" s="69"/>
      <c r="C516" s="69"/>
      <c r="D516" s="69"/>
      <c r="E516" s="69"/>
      <c r="F516" s="69"/>
      <c r="G516" s="56"/>
      <c r="H516" s="57"/>
      <c r="I516" s="68"/>
    </row>
    <row r="517" spans="1:9" x14ac:dyDescent="0.2">
      <c r="A517" s="69"/>
      <c r="B517" s="69"/>
      <c r="C517" s="69"/>
      <c r="D517" s="69"/>
      <c r="E517" s="69"/>
      <c r="F517" s="69"/>
      <c r="G517" s="56"/>
      <c r="H517" s="57"/>
      <c r="I517" s="68"/>
    </row>
    <row r="518" spans="1:9" x14ac:dyDescent="0.2">
      <c r="A518" s="69"/>
      <c r="B518" s="69"/>
      <c r="C518" s="69"/>
      <c r="D518" s="69"/>
      <c r="E518" s="69"/>
      <c r="F518" s="69"/>
      <c r="G518" s="56"/>
      <c r="H518" s="57"/>
      <c r="I518" s="68"/>
    </row>
    <row r="519" spans="1:9" x14ac:dyDescent="0.2">
      <c r="A519" s="69"/>
      <c r="B519" s="69"/>
      <c r="C519" s="69"/>
      <c r="D519" s="69"/>
      <c r="E519" s="69"/>
      <c r="F519" s="69"/>
      <c r="G519" s="56"/>
      <c r="H519" s="57"/>
      <c r="I519" s="68"/>
    </row>
    <row r="520" spans="1:9" x14ac:dyDescent="0.2">
      <c r="A520" s="69"/>
      <c r="B520" s="69"/>
      <c r="C520" s="69"/>
      <c r="D520" s="69"/>
      <c r="E520" s="69"/>
      <c r="F520" s="69"/>
      <c r="G520" s="56"/>
      <c r="H520" s="57"/>
      <c r="I520" s="68"/>
    </row>
    <row r="521" spans="1:9" x14ac:dyDescent="0.2">
      <c r="A521" s="69"/>
      <c r="B521" s="69"/>
      <c r="C521" s="69"/>
      <c r="D521" s="69"/>
      <c r="E521" s="69"/>
      <c r="F521" s="69"/>
      <c r="G521" s="56"/>
      <c r="H521" s="57"/>
      <c r="I521" s="68"/>
    </row>
    <row r="522" spans="1:9" x14ac:dyDescent="0.2">
      <c r="A522" s="69"/>
      <c r="B522" s="69"/>
      <c r="C522" s="69"/>
      <c r="D522" s="69"/>
      <c r="E522" s="69"/>
      <c r="F522" s="69"/>
      <c r="G522" s="56"/>
      <c r="H522" s="57"/>
      <c r="I522" s="68"/>
    </row>
    <row r="523" spans="1:9" x14ac:dyDescent="0.2">
      <c r="A523" s="69"/>
      <c r="B523" s="69"/>
      <c r="C523" s="69"/>
      <c r="D523" s="69"/>
      <c r="E523" s="69"/>
      <c r="F523" s="69"/>
      <c r="G523" s="56"/>
      <c r="H523" s="57"/>
      <c r="I523" s="68"/>
    </row>
    <row r="524" spans="1:9" x14ac:dyDescent="0.2">
      <c r="A524" s="69"/>
      <c r="B524" s="69"/>
      <c r="C524" s="69"/>
      <c r="D524" s="69"/>
      <c r="E524" s="69"/>
      <c r="F524" s="69"/>
      <c r="G524" s="56"/>
      <c r="H524" s="57"/>
      <c r="I524" s="68"/>
    </row>
    <row r="525" spans="1:9" x14ac:dyDescent="0.2">
      <c r="A525" s="69"/>
      <c r="B525" s="69"/>
      <c r="C525" s="69"/>
      <c r="D525" s="69"/>
      <c r="E525" s="69"/>
      <c r="F525" s="69"/>
      <c r="G525" s="56"/>
      <c r="H525" s="57"/>
      <c r="I525" s="68"/>
    </row>
    <row r="526" spans="1:9" x14ac:dyDescent="0.2">
      <c r="A526" s="69"/>
      <c r="B526" s="69"/>
      <c r="C526" s="69"/>
      <c r="D526" s="69"/>
      <c r="E526" s="69"/>
      <c r="F526" s="69"/>
      <c r="G526" s="56"/>
      <c r="H526" s="57"/>
      <c r="I526" s="68"/>
    </row>
    <row r="527" spans="1:9" x14ac:dyDescent="0.2">
      <c r="A527" s="69"/>
      <c r="B527" s="69"/>
      <c r="C527" s="69"/>
      <c r="D527" s="69"/>
      <c r="E527" s="69"/>
      <c r="F527" s="69"/>
      <c r="G527" s="56"/>
      <c r="H527" s="57"/>
      <c r="I527" s="68"/>
    </row>
    <row r="528" spans="1:9" x14ac:dyDescent="0.2">
      <c r="A528" s="69"/>
      <c r="B528" s="69"/>
      <c r="C528" s="69"/>
      <c r="D528" s="69"/>
      <c r="E528" s="69"/>
      <c r="F528" s="69"/>
      <c r="G528" s="56"/>
      <c r="H528" s="57"/>
      <c r="I528" s="68"/>
    </row>
    <row r="529" spans="1:9" x14ac:dyDescent="0.2">
      <c r="A529" s="69"/>
      <c r="B529" s="69"/>
      <c r="C529" s="69"/>
      <c r="D529" s="69"/>
      <c r="E529" s="69"/>
      <c r="F529" s="69"/>
      <c r="G529" s="56"/>
      <c r="H529" s="57"/>
      <c r="I529" s="68"/>
    </row>
    <row r="530" spans="1:9" x14ac:dyDescent="0.2">
      <c r="A530" s="69"/>
      <c r="B530" s="69"/>
      <c r="C530" s="69"/>
      <c r="D530" s="69"/>
      <c r="E530" s="69"/>
      <c r="F530" s="69"/>
      <c r="G530" s="56"/>
      <c r="H530" s="57"/>
      <c r="I530" s="68"/>
    </row>
    <row r="531" spans="1:9" x14ac:dyDescent="0.2">
      <c r="A531" s="69"/>
      <c r="B531" s="69"/>
      <c r="C531" s="69"/>
      <c r="D531" s="69"/>
      <c r="E531" s="69"/>
      <c r="F531" s="69"/>
      <c r="G531" s="56"/>
      <c r="H531" s="57"/>
      <c r="I531" s="68"/>
    </row>
    <row r="532" spans="1:9" x14ac:dyDescent="0.2">
      <c r="A532" s="69"/>
      <c r="B532" s="69"/>
      <c r="C532" s="69"/>
      <c r="D532" s="69"/>
      <c r="E532" s="69"/>
      <c r="F532" s="69"/>
      <c r="G532" s="56"/>
      <c r="H532" s="57"/>
      <c r="I532" s="68"/>
    </row>
    <row r="533" spans="1:9" x14ac:dyDescent="0.2">
      <c r="A533" s="69"/>
      <c r="B533" s="69"/>
      <c r="C533" s="69"/>
      <c r="D533" s="69"/>
      <c r="E533" s="69"/>
      <c r="F533" s="69"/>
      <c r="G533" s="56"/>
      <c r="H533" s="57"/>
      <c r="I533" s="68"/>
    </row>
    <row r="534" spans="1:9" x14ac:dyDescent="0.2">
      <c r="A534" s="69"/>
      <c r="B534" s="69"/>
      <c r="C534" s="69"/>
      <c r="D534" s="69"/>
      <c r="E534" s="69"/>
      <c r="F534" s="69"/>
      <c r="G534" s="56"/>
      <c r="H534" s="57"/>
      <c r="I534" s="68"/>
    </row>
    <row r="535" spans="1:9" x14ac:dyDescent="0.2">
      <c r="A535" s="69"/>
      <c r="B535" s="69"/>
      <c r="C535" s="69"/>
      <c r="D535" s="69"/>
      <c r="E535" s="69"/>
      <c r="F535" s="69"/>
      <c r="G535" s="56"/>
      <c r="H535" s="57"/>
      <c r="I535" s="68"/>
    </row>
    <row r="536" spans="1:9" x14ac:dyDescent="0.2">
      <c r="A536" s="69"/>
      <c r="B536" s="69"/>
      <c r="C536" s="69"/>
      <c r="D536" s="69"/>
      <c r="E536" s="69"/>
      <c r="F536" s="69"/>
      <c r="G536" s="56"/>
      <c r="H536" s="57"/>
      <c r="I536" s="68"/>
    </row>
    <row r="537" spans="1:9" x14ac:dyDescent="0.2">
      <c r="A537" s="69"/>
      <c r="B537" s="69"/>
      <c r="C537" s="69"/>
      <c r="D537" s="69"/>
      <c r="E537" s="69"/>
      <c r="F537" s="69"/>
      <c r="G537" s="56"/>
      <c r="H537" s="57"/>
      <c r="I537" s="68"/>
    </row>
    <row r="538" spans="1:9" x14ac:dyDescent="0.2">
      <c r="A538" s="69"/>
      <c r="B538" s="69"/>
      <c r="C538" s="69"/>
      <c r="D538" s="69"/>
      <c r="E538" s="69"/>
      <c r="F538" s="69"/>
      <c r="G538" s="56"/>
      <c r="H538" s="57"/>
      <c r="I538" s="68"/>
    </row>
    <row r="539" spans="1:9" x14ac:dyDescent="0.2">
      <c r="A539" s="69"/>
      <c r="B539" s="69"/>
      <c r="C539" s="69"/>
      <c r="D539" s="69"/>
      <c r="E539" s="69"/>
      <c r="F539" s="69"/>
      <c r="G539" s="56"/>
      <c r="H539" s="57"/>
      <c r="I539" s="68"/>
    </row>
    <row r="540" spans="1:9" x14ac:dyDescent="0.2">
      <c r="A540" s="69"/>
      <c r="B540" s="69"/>
      <c r="C540" s="69"/>
      <c r="D540" s="69"/>
      <c r="E540" s="69"/>
      <c r="F540" s="69"/>
      <c r="G540" s="56"/>
      <c r="H540" s="57"/>
      <c r="I540" s="68"/>
    </row>
    <row r="541" spans="1:9" x14ac:dyDescent="0.2">
      <c r="A541" s="69"/>
      <c r="B541" s="69"/>
      <c r="C541" s="69"/>
      <c r="D541" s="69"/>
      <c r="E541" s="69"/>
      <c r="F541" s="69"/>
      <c r="G541" s="56"/>
      <c r="H541" s="57"/>
      <c r="I541" s="68"/>
    </row>
    <row r="542" spans="1:9" x14ac:dyDescent="0.2">
      <c r="A542" s="69"/>
      <c r="B542" s="69"/>
      <c r="C542" s="69"/>
      <c r="D542" s="69"/>
      <c r="E542" s="69"/>
      <c r="F542" s="69"/>
      <c r="G542" s="56"/>
      <c r="H542" s="57"/>
      <c r="I542" s="68"/>
    </row>
    <row r="543" spans="1:9" x14ac:dyDescent="0.2">
      <c r="A543" s="69"/>
      <c r="B543" s="69"/>
      <c r="C543" s="69"/>
      <c r="D543" s="69"/>
      <c r="E543" s="69"/>
      <c r="F543" s="69"/>
      <c r="G543" s="56"/>
      <c r="H543" s="57"/>
      <c r="I543" s="68"/>
    </row>
    <row r="544" spans="1:9" x14ac:dyDescent="0.2">
      <c r="A544" s="69"/>
      <c r="B544" s="69"/>
      <c r="C544" s="69"/>
      <c r="D544" s="69"/>
      <c r="E544" s="69"/>
      <c r="F544" s="69"/>
      <c r="G544" s="56"/>
      <c r="H544" s="57"/>
      <c r="I544" s="68"/>
    </row>
    <row r="545" spans="1:9" x14ac:dyDescent="0.2">
      <c r="A545" s="69"/>
      <c r="B545" s="69"/>
      <c r="C545" s="69"/>
      <c r="D545" s="69"/>
      <c r="E545" s="69"/>
      <c r="F545" s="69"/>
      <c r="G545" s="56"/>
      <c r="H545" s="57"/>
      <c r="I545" s="68"/>
    </row>
    <row r="546" spans="1:9" x14ac:dyDescent="0.2">
      <c r="A546" s="69"/>
      <c r="B546" s="69"/>
      <c r="C546" s="69"/>
      <c r="D546" s="69"/>
      <c r="E546" s="69"/>
      <c r="F546" s="69"/>
      <c r="G546" s="56"/>
      <c r="H546" s="57"/>
      <c r="I546" s="68"/>
    </row>
    <row r="547" spans="1:9" x14ac:dyDescent="0.2">
      <c r="A547" s="69"/>
      <c r="B547" s="69"/>
      <c r="C547" s="69"/>
      <c r="D547" s="69"/>
      <c r="E547" s="69"/>
      <c r="F547" s="69"/>
      <c r="G547" s="56"/>
      <c r="H547" s="57"/>
      <c r="I547" s="68"/>
    </row>
    <row r="548" spans="1:9" x14ac:dyDescent="0.2">
      <c r="A548" s="69"/>
      <c r="B548" s="69"/>
      <c r="C548" s="69"/>
      <c r="D548" s="69"/>
      <c r="E548" s="69"/>
      <c r="F548" s="69"/>
      <c r="G548" s="56"/>
      <c r="H548" s="57"/>
      <c r="I548" s="68"/>
    </row>
    <row r="549" spans="1:9" x14ac:dyDescent="0.2">
      <c r="A549" s="69"/>
      <c r="B549" s="69"/>
      <c r="C549" s="69"/>
      <c r="D549" s="69"/>
      <c r="E549" s="69"/>
      <c r="F549" s="69"/>
      <c r="G549" s="56"/>
      <c r="H549" s="57"/>
      <c r="I549" s="68"/>
    </row>
    <row r="550" spans="1:9" x14ac:dyDescent="0.2">
      <c r="A550" s="69"/>
      <c r="B550" s="69"/>
      <c r="C550" s="69"/>
      <c r="D550" s="69"/>
      <c r="E550" s="69"/>
      <c r="F550" s="69"/>
      <c r="G550" s="56"/>
      <c r="H550" s="57"/>
      <c r="I550" s="68"/>
    </row>
    <row r="551" spans="1:9" x14ac:dyDescent="0.2">
      <c r="A551" s="69"/>
      <c r="B551" s="69"/>
      <c r="C551" s="69"/>
      <c r="D551" s="69"/>
      <c r="E551" s="69"/>
      <c r="F551" s="69"/>
      <c r="G551" s="56"/>
      <c r="H551" s="57"/>
      <c r="I551" s="68"/>
    </row>
    <row r="552" spans="1:9" x14ac:dyDescent="0.2">
      <c r="A552" s="69"/>
      <c r="B552" s="69"/>
      <c r="C552" s="69"/>
      <c r="D552" s="69"/>
      <c r="E552" s="69"/>
      <c r="F552" s="69"/>
      <c r="G552" s="56"/>
      <c r="H552" s="57"/>
      <c r="I552" s="68"/>
    </row>
    <row r="553" spans="1:9" x14ac:dyDescent="0.2">
      <c r="A553" s="69"/>
      <c r="B553" s="69"/>
      <c r="C553" s="69"/>
      <c r="D553" s="69"/>
      <c r="E553" s="69"/>
      <c r="F553" s="69"/>
      <c r="G553" s="56"/>
      <c r="H553" s="57"/>
      <c r="I553" s="68"/>
    </row>
    <row r="554" spans="1:9" x14ac:dyDescent="0.2">
      <c r="A554" s="69"/>
      <c r="B554" s="69"/>
      <c r="C554" s="69"/>
      <c r="D554" s="69"/>
      <c r="E554" s="69"/>
      <c r="F554" s="69"/>
      <c r="G554" s="56"/>
      <c r="H554" s="57"/>
      <c r="I554" s="68"/>
    </row>
    <row r="555" spans="1:9" x14ac:dyDescent="0.2">
      <c r="A555" s="69"/>
      <c r="B555" s="69"/>
      <c r="C555" s="69"/>
      <c r="D555" s="69"/>
      <c r="E555" s="69"/>
      <c r="F555" s="69"/>
      <c r="G555" s="56"/>
      <c r="H555" s="57"/>
      <c r="I555" s="68"/>
    </row>
    <row r="556" spans="1:9" x14ac:dyDescent="0.2">
      <c r="A556" s="69"/>
      <c r="B556" s="69"/>
      <c r="C556" s="69"/>
      <c r="D556" s="69"/>
      <c r="E556" s="69"/>
      <c r="F556" s="69"/>
      <c r="G556" s="56"/>
      <c r="H556" s="57"/>
      <c r="I556" s="68"/>
    </row>
    <row r="557" spans="1:9" x14ac:dyDescent="0.2">
      <c r="A557" s="69"/>
      <c r="B557" s="69"/>
      <c r="C557" s="69"/>
      <c r="D557" s="69"/>
      <c r="E557" s="69"/>
      <c r="F557" s="69"/>
      <c r="G557" s="56"/>
      <c r="H557" s="57"/>
      <c r="I557" s="68"/>
    </row>
    <row r="558" spans="1:9" x14ac:dyDescent="0.2">
      <c r="A558" s="69"/>
      <c r="B558" s="69"/>
      <c r="C558" s="69"/>
      <c r="D558" s="69"/>
      <c r="E558" s="69"/>
      <c r="F558" s="69"/>
      <c r="G558" s="56"/>
      <c r="H558" s="57"/>
      <c r="I558" s="68"/>
    </row>
    <row r="559" spans="1:9" x14ac:dyDescent="0.2">
      <c r="A559" s="69"/>
      <c r="B559" s="69"/>
      <c r="C559" s="69"/>
      <c r="D559" s="69"/>
      <c r="E559" s="69"/>
      <c r="F559" s="69"/>
      <c r="G559" s="56"/>
      <c r="H559" s="57"/>
      <c r="I559" s="68"/>
    </row>
    <row r="560" spans="1:9" x14ac:dyDescent="0.2">
      <c r="A560" s="69"/>
      <c r="B560" s="69"/>
      <c r="C560" s="69"/>
      <c r="D560" s="69"/>
      <c r="E560" s="69"/>
      <c r="F560" s="69"/>
      <c r="G560" s="56"/>
      <c r="H560" s="57"/>
      <c r="I560" s="68"/>
    </row>
    <row r="561" spans="1:9" x14ac:dyDescent="0.2">
      <c r="A561" s="69"/>
      <c r="B561" s="69"/>
      <c r="C561" s="69"/>
      <c r="D561" s="69"/>
      <c r="E561" s="69"/>
      <c r="F561" s="69"/>
      <c r="G561" s="56"/>
      <c r="H561" s="57"/>
      <c r="I561" s="68"/>
    </row>
    <row r="562" spans="1:9" x14ac:dyDescent="0.2">
      <c r="A562" s="69"/>
      <c r="B562" s="69"/>
      <c r="C562" s="69"/>
      <c r="D562" s="69"/>
      <c r="E562" s="69"/>
      <c r="F562" s="69"/>
      <c r="G562" s="56"/>
      <c r="H562" s="57"/>
      <c r="I562" s="68"/>
    </row>
    <row r="563" spans="1:9" x14ac:dyDescent="0.2">
      <c r="A563" s="69"/>
      <c r="B563" s="69"/>
      <c r="C563" s="69"/>
      <c r="D563" s="69"/>
      <c r="E563" s="69"/>
      <c r="F563" s="69"/>
      <c r="G563" s="56"/>
      <c r="H563" s="57"/>
      <c r="I563" s="68"/>
    </row>
    <row r="564" spans="1:9" x14ac:dyDescent="0.2">
      <c r="A564" s="69"/>
      <c r="B564" s="69"/>
      <c r="C564" s="69"/>
      <c r="D564" s="69"/>
      <c r="E564" s="69"/>
      <c r="F564" s="69"/>
      <c r="G564" s="56"/>
      <c r="H564" s="57"/>
      <c r="I564" s="68"/>
    </row>
    <row r="565" spans="1:9" x14ac:dyDescent="0.2">
      <c r="A565" s="69"/>
      <c r="B565" s="69"/>
      <c r="C565" s="69"/>
      <c r="D565" s="69"/>
      <c r="E565" s="69"/>
      <c r="F565" s="69"/>
      <c r="G565" s="56"/>
      <c r="H565" s="57"/>
      <c r="I565" s="68"/>
    </row>
    <row r="566" spans="1:9" x14ac:dyDescent="0.2">
      <c r="A566" s="69"/>
      <c r="B566" s="69"/>
      <c r="C566" s="69"/>
      <c r="D566" s="69"/>
      <c r="E566" s="69"/>
      <c r="F566" s="69"/>
      <c r="G566" s="56"/>
      <c r="H566" s="57"/>
      <c r="I566" s="68"/>
    </row>
    <row r="567" spans="1:9" x14ac:dyDescent="0.2">
      <c r="A567" s="69"/>
      <c r="B567" s="69"/>
      <c r="C567" s="69"/>
      <c r="D567" s="69"/>
      <c r="E567" s="69"/>
      <c r="F567" s="69"/>
      <c r="G567" s="56"/>
      <c r="H567" s="57"/>
      <c r="I567" s="68"/>
    </row>
    <row r="568" spans="1:9" x14ac:dyDescent="0.2">
      <c r="A568" s="69"/>
      <c r="B568" s="69"/>
      <c r="C568" s="69"/>
      <c r="D568" s="69"/>
      <c r="E568" s="69"/>
      <c r="F568" s="69"/>
      <c r="G568" s="56"/>
      <c r="H568" s="57"/>
      <c r="I568" s="68"/>
    </row>
    <row r="569" spans="1:9" x14ac:dyDescent="0.2">
      <c r="A569" s="69"/>
      <c r="B569" s="69"/>
      <c r="C569" s="69"/>
      <c r="D569" s="69"/>
      <c r="E569" s="69"/>
      <c r="F569" s="69"/>
      <c r="G569" s="56"/>
      <c r="H569" s="57"/>
      <c r="I569" s="68"/>
    </row>
    <row r="570" spans="1:9" x14ac:dyDescent="0.2">
      <c r="A570" s="69"/>
      <c r="B570" s="69"/>
      <c r="C570" s="69"/>
      <c r="D570" s="69"/>
      <c r="E570" s="69"/>
      <c r="F570" s="69"/>
      <c r="G570" s="56"/>
      <c r="H570" s="57"/>
      <c r="I570" s="68"/>
    </row>
    <row r="571" spans="1:9" x14ac:dyDescent="0.2">
      <c r="A571" s="69"/>
      <c r="B571" s="69"/>
      <c r="C571" s="69"/>
      <c r="D571" s="69"/>
      <c r="E571" s="69"/>
      <c r="F571" s="69"/>
      <c r="G571" s="56"/>
      <c r="H571" s="57"/>
      <c r="I571" s="68"/>
    </row>
    <row r="572" spans="1:9" x14ac:dyDescent="0.2">
      <c r="A572" s="69"/>
      <c r="B572" s="69"/>
      <c r="C572" s="69"/>
      <c r="D572" s="69"/>
      <c r="E572" s="69"/>
      <c r="F572" s="69"/>
      <c r="G572" s="56"/>
      <c r="H572" s="57"/>
      <c r="I572" s="68"/>
    </row>
    <row r="573" spans="1:9" x14ac:dyDescent="0.2">
      <c r="A573" s="69"/>
      <c r="B573" s="69"/>
      <c r="C573" s="69"/>
      <c r="D573" s="69"/>
      <c r="E573" s="69"/>
      <c r="F573" s="69"/>
      <c r="G573" s="56"/>
      <c r="H573" s="57"/>
      <c r="I573" s="68"/>
    </row>
    <row r="574" spans="1:9" x14ac:dyDescent="0.2">
      <c r="A574" s="69"/>
      <c r="B574" s="69"/>
      <c r="C574" s="69"/>
      <c r="D574" s="69"/>
      <c r="E574" s="69"/>
      <c r="F574" s="69"/>
      <c r="G574" s="56"/>
      <c r="H574" s="57"/>
      <c r="I574" s="68"/>
    </row>
    <row r="575" spans="1:9" x14ac:dyDescent="0.2">
      <c r="A575" s="69"/>
      <c r="B575" s="69"/>
      <c r="C575" s="69"/>
      <c r="D575" s="69"/>
      <c r="E575" s="69"/>
      <c r="F575" s="69"/>
      <c r="G575" s="56"/>
      <c r="H575" s="57"/>
      <c r="I575" s="68"/>
    </row>
    <row r="576" spans="1:9" x14ac:dyDescent="0.2">
      <c r="A576" s="69"/>
      <c r="B576" s="69"/>
      <c r="C576" s="69"/>
      <c r="D576" s="69"/>
      <c r="E576" s="69"/>
      <c r="F576" s="69"/>
      <c r="G576" s="56"/>
      <c r="H576" s="57"/>
      <c r="I576" s="68"/>
    </row>
    <row r="577" spans="1:9" x14ac:dyDescent="0.2">
      <c r="A577" s="69"/>
      <c r="B577" s="69"/>
      <c r="C577" s="69"/>
      <c r="D577" s="69"/>
      <c r="E577" s="69"/>
      <c r="F577" s="69"/>
      <c r="G577" s="56"/>
      <c r="H577" s="57"/>
      <c r="I577" s="68"/>
    </row>
    <row r="578" spans="1:9" x14ac:dyDescent="0.2">
      <c r="A578" s="69"/>
      <c r="B578" s="69"/>
      <c r="C578" s="69"/>
      <c r="D578" s="69"/>
      <c r="E578" s="69"/>
      <c r="F578" s="69"/>
      <c r="G578" s="56"/>
      <c r="H578" s="57"/>
      <c r="I578" s="68"/>
    </row>
    <row r="579" spans="1:9" x14ac:dyDescent="0.2">
      <c r="A579" s="69"/>
      <c r="B579" s="69"/>
      <c r="C579" s="69"/>
      <c r="D579" s="69"/>
      <c r="E579" s="69"/>
      <c r="F579" s="69"/>
      <c r="G579" s="56"/>
      <c r="H579" s="57"/>
      <c r="I579" s="68"/>
    </row>
    <row r="580" spans="1:9" x14ac:dyDescent="0.2">
      <c r="A580" s="69"/>
      <c r="B580" s="69"/>
      <c r="C580" s="69"/>
      <c r="D580" s="69"/>
      <c r="E580" s="69"/>
      <c r="F580" s="69"/>
      <c r="G580" s="56"/>
      <c r="H580" s="57"/>
      <c r="I580" s="68"/>
    </row>
    <row r="581" spans="1:9" x14ac:dyDescent="0.2">
      <c r="A581" s="69"/>
      <c r="B581" s="69"/>
      <c r="C581" s="69"/>
      <c r="D581" s="69"/>
      <c r="E581" s="69"/>
      <c r="F581" s="69"/>
      <c r="G581" s="56"/>
      <c r="H581" s="57"/>
      <c r="I581" s="68"/>
    </row>
    <row r="582" spans="1:9" x14ac:dyDescent="0.2">
      <c r="A582" s="69"/>
      <c r="B582" s="69"/>
      <c r="C582" s="69"/>
      <c r="D582" s="69"/>
      <c r="E582" s="69"/>
      <c r="F582" s="69"/>
      <c r="G582" s="56"/>
      <c r="H582" s="57"/>
      <c r="I582" s="68"/>
    </row>
    <row r="583" spans="1:9" x14ac:dyDescent="0.2">
      <c r="A583" s="69"/>
      <c r="B583" s="69"/>
      <c r="C583" s="69"/>
      <c r="D583" s="69"/>
      <c r="E583" s="69"/>
      <c r="F583" s="69"/>
      <c r="G583" s="56"/>
      <c r="H583" s="57"/>
      <c r="I583" s="68"/>
    </row>
    <row r="584" spans="1:9" x14ac:dyDescent="0.2">
      <c r="A584" s="69"/>
      <c r="B584" s="69"/>
      <c r="C584" s="69"/>
      <c r="D584" s="69"/>
      <c r="E584" s="69"/>
      <c r="F584" s="69"/>
      <c r="G584" s="56"/>
      <c r="H584" s="57"/>
      <c r="I584" s="68"/>
    </row>
    <row r="585" spans="1:9" x14ac:dyDescent="0.2">
      <c r="A585" s="69"/>
      <c r="B585" s="69"/>
      <c r="C585" s="69"/>
      <c r="D585" s="69"/>
      <c r="E585" s="69"/>
      <c r="F585" s="69"/>
      <c r="G585" s="56"/>
      <c r="H585" s="57"/>
      <c r="I585" s="68"/>
    </row>
    <row r="586" spans="1:9" x14ac:dyDescent="0.2">
      <c r="A586" s="69"/>
      <c r="B586" s="69"/>
      <c r="C586" s="69"/>
      <c r="D586" s="69"/>
      <c r="E586" s="69"/>
      <c r="F586" s="69"/>
      <c r="G586" s="56"/>
      <c r="H586" s="57"/>
      <c r="I586" s="68"/>
    </row>
    <row r="587" spans="1:9" x14ac:dyDescent="0.2">
      <c r="A587" s="69"/>
      <c r="B587" s="69"/>
      <c r="C587" s="69"/>
      <c r="D587" s="69"/>
      <c r="E587" s="69"/>
      <c r="F587" s="69"/>
      <c r="G587" s="56"/>
      <c r="H587" s="57"/>
      <c r="I587" s="68"/>
    </row>
    <row r="588" spans="1:9" x14ac:dyDescent="0.2">
      <c r="A588" s="69"/>
      <c r="B588" s="69"/>
      <c r="C588" s="69"/>
      <c r="D588" s="69"/>
      <c r="E588" s="69"/>
      <c r="F588" s="69"/>
      <c r="G588" s="56"/>
      <c r="H588" s="57"/>
      <c r="I588" s="68"/>
    </row>
    <row r="589" spans="1:9" x14ac:dyDescent="0.2">
      <c r="A589" s="69"/>
      <c r="B589" s="69"/>
      <c r="C589" s="69"/>
      <c r="D589" s="69"/>
      <c r="E589" s="69"/>
      <c r="F589" s="69"/>
      <c r="G589" s="56"/>
      <c r="H589" s="57"/>
      <c r="I589" s="68"/>
    </row>
    <row r="590" spans="1:9" x14ac:dyDescent="0.2">
      <c r="A590" s="69"/>
      <c r="B590" s="69"/>
      <c r="C590" s="69"/>
      <c r="D590" s="69"/>
      <c r="E590" s="69"/>
      <c r="F590" s="69"/>
      <c r="G590" s="56"/>
      <c r="H590" s="57"/>
      <c r="I590" s="68"/>
    </row>
    <row r="591" spans="1:9" x14ac:dyDescent="0.2">
      <c r="A591" s="69"/>
      <c r="B591" s="69"/>
      <c r="C591" s="69"/>
      <c r="D591" s="69"/>
      <c r="E591" s="69"/>
      <c r="F591" s="69"/>
      <c r="G591" s="56"/>
      <c r="H591" s="57"/>
      <c r="I591" s="68"/>
    </row>
    <row r="592" spans="1:9" x14ac:dyDescent="0.2">
      <c r="A592" s="69"/>
      <c r="B592" s="69"/>
      <c r="C592" s="69"/>
      <c r="D592" s="69"/>
      <c r="E592" s="69"/>
      <c r="F592" s="69"/>
      <c r="G592" s="56"/>
      <c r="H592" s="57"/>
      <c r="I592" s="68"/>
    </row>
    <row r="593" spans="1:9" x14ac:dyDescent="0.2">
      <c r="A593" s="69"/>
      <c r="B593" s="69"/>
      <c r="C593" s="69"/>
      <c r="D593" s="69"/>
      <c r="E593" s="69"/>
      <c r="F593" s="69"/>
      <c r="G593" s="56"/>
      <c r="H593" s="57"/>
      <c r="I593" s="68"/>
    </row>
    <row r="594" spans="1:9" x14ac:dyDescent="0.2">
      <c r="A594" s="69"/>
      <c r="B594" s="69"/>
      <c r="C594" s="69"/>
      <c r="D594" s="69"/>
      <c r="E594" s="69"/>
      <c r="F594" s="69"/>
      <c r="G594" s="56"/>
      <c r="H594" s="57"/>
      <c r="I594" s="68"/>
    </row>
    <row r="595" spans="1:9" x14ac:dyDescent="0.2">
      <c r="A595" s="69"/>
      <c r="B595" s="69"/>
      <c r="C595" s="69"/>
      <c r="D595" s="69"/>
      <c r="E595" s="69"/>
      <c r="F595" s="69"/>
      <c r="G595" s="56"/>
      <c r="H595" s="57"/>
      <c r="I595" s="68"/>
    </row>
    <row r="596" spans="1:9" x14ac:dyDescent="0.2">
      <c r="A596" s="69"/>
      <c r="B596" s="69"/>
      <c r="C596" s="69"/>
      <c r="D596" s="69"/>
      <c r="E596" s="69"/>
      <c r="F596" s="69"/>
      <c r="G596" s="56"/>
      <c r="H596" s="57"/>
      <c r="I596" s="68"/>
    </row>
    <row r="597" spans="1:9" x14ac:dyDescent="0.2">
      <c r="A597" s="69"/>
      <c r="B597" s="69"/>
      <c r="C597" s="69"/>
      <c r="D597" s="69"/>
      <c r="E597" s="69"/>
      <c r="F597" s="69"/>
      <c r="G597" s="56"/>
      <c r="H597" s="57"/>
      <c r="I597" s="68"/>
    </row>
    <row r="598" spans="1:9" x14ac:dyDescent="0.2">
      <c r="A598" s="69"/>
      <c r="B598" s="69"/>
      <c r="C598" s="69"/>
      <c r="D598" s="69"/>
      <c r="E598" s="69"/>
      <c r="F598" s="69"/>
      <c r="G598" s="56"/>
      <c r="H598" s="57"/>
      <c r="I598" s="68"/>
    </row>
    <row r="599" spans="1:9" x14ac:dyDescent="0.2">
      <c r="A599" s="69"/>
      <c r="B599" s="69"/>
      <c r="C599" s="69"/>
      <c r="D599" s="69"/>
      <c r="E599" s="69"/>
      <c r="F599" s="69"/>
      <c r="G599" s="56"/>
      <c r="H599" s="57"/>
      <c r="I599" s="68"/>
    </row>
    <row r="600" spans="1:9" x14ac:dyDescent="0.2">
      <c r="A600" s="69"/>
      <c r="B600" s="69"/>
      <c r="C600" s="69"/>
      <c r="D600" s="69"/>
      <c r="E600" s="69"/>
      <c r="F600" s="69"/>
      <c r="G600" s="56"/>
      <c r="H600" s="57"/>
      <c r="I600" s="68"/>
    </row>
    <row r="601" spans="1:9" x14ac:dyDescent="0.2">
      <c r="A601" s="69"/>
      <c r="B601" s="69"/>
      <c r="C601" s="69"/>
      <c r="D601" s="69"/>
      <c r="E601" s="69"/>
      <c r="F601" s="69"/>
      <c r="G601" s="56"/>
      <c r="H601" s="57"/>
      <c r="I601" s="68"/>
    </row>
    <row r="602" spans="1:9" x14ac:dyDescent="0.2">
      <c r="A602" s="69"/>
      <c r="B602" s="69"/>
      <c r="C602" s="69"/>
      <c r="D602" s="69"/>
      <c r="E602" s="69"/>
      <c r="F602" s="69"/>
      <c r="G602" s="56"/>
      <c r="H602" s="57"/>
      <c r="I602" s="68"/>
    </row>
    <row r="603" spans="1:9" x14ac:dyDescent="0.2">
      <c r="A603" s="69"/>
      <c r="B603" s="69"/>
      <c r="C603" s="69"/>
      <c r="D603" s="69"/>
      <c r="E603" s="69"/>
      <c r="F603" s="69"/>
      <c r="G603" s="56"/>
      <c r="H603" s="57"/>
      <c r="I603" s="68"/>
    </row>
    <row r="604" spans="1:9" x14ac:dyDescent="0.2">
      <c r="A604" s="69"/>
      <c r="B604" s="69"/>
      <c r="C604" s="69"/>
      <c r="D604" s="69"/>
      <c r="E604" s="69"/>
      <c r="F604" s="69"/>
      <c r="G604" s="56"/>
      <c r="H604" s="57"/>
      <c r="I604" s="68"/>
    </row>
    <row r="605" spans="1:9" x14ac:dyDescent="0.2">
      <c r="A605" s="69"/>
      <c r="B605" s="69"/>
      <c r="C605" s="69"/>
      <c r="D605" s="69"/>
      <c r="E605" s="69"/>
      <c r="F605" s="69"/>
      <c r="G605" s="56"/>
      <c r="H605" s="57"/>
      <c r="I605" s="68"/>
    </row>
    <row r="606" spans="1:9" x14ac:dyDescent="0.2">
      <c r="A606" s="69"/>
      <c r="B606" s="69"/>
      <c r="C606" s="69"/>
      <c r="D606" s="69"/>
      <c r="E606" s="69"/>
      <c r="F606" s="69"/>
      <c r="G606" s="56"/>
      <c r="H606" s="57"/>
      <c r="I606" s="68"/>
    </row>
    <row r="607" spans="1:9" x14ac:dyDescent="0.2">
      <c r="A607" s="69"/>
      <c r="B607" s="69"/>
      <c r="C607" s="69"/>
      <c r="D607" s="69"/>
      <c r="E607" s="69"/>
      <c r="F607" s="69"/>
      <c r="G607" s="56"/>
      <c r="H607" s="57"/>
      <c r="I607" s="68"/>
    </row>
    <row r="608" spans="1:9" x14ac:dyDescent="0.2">
      <c r="A608" s="69"/>
      <c r="B608" s="69"/>
      <c r="C608" s="69"/>
      <c r="D608" s="69"/>
      <c r="E608" s="69"/>
      <c r="F608" s="69"/>
      <c r="G608" s="56"/>
      <c r="H608" s="57"/>
      <c r="I608" s="68"/>
    </row>
    <row r="609" spans="1:9" x14ac:dyDescent="0.2">
      <c r="A609" s="69"/>
      <c r="B609" s="69"/>
      <c r="C609" s="69"/>
      <c r="D609" s="69"/>
      <c r="E609" s="69"/>
      <c r="F609" s="69"/>
      <c r="G609" s="56"/>
      <c r="H609" s="57"/>
      <c r="I609" s="68"/>
    </row>
    <row r="610" spans="1:9" x14ac:dyDescent="0.2">
      <c r="A610" s="69"/>
      <c r="B610" s="69"/>
      <c r="C610" s="69"/>
      <c r="D610" s="69"/>
      <c r="E610" s="69"/>
      <c r="F610" s="69"/>
      <c r="G610" s="56"/>
      <c r="H610" s="57"/>
      <c r="I610" s="68"/>
    </row>
    <row r="611" spans="1:9" x14ac:dyDescent="0.2">
      <c r="A611" s="69"/>
      <c r="B611" s="69"/>
      <c r="C611" s="69"/>
      <c r="D611" s="69"/>
      <c r="E611" s="69"/>
      <c r="F611" s="69"/>
      <c r="G611" s="56"/>
      <c r="H611" s="57"/>
      <c r="I611" s="68"/>
    </row>
    <row r="612" spans="1:9" x14ac:dyDescent="0.2">
      <c r="A612" s="69"/>
      <c r="B612" s="69"/>
      <c r="C612" s="69"/>
      <c r="D612" s="69"/>
      <c r="E612" s="69"/>
      <c r="F612" s="69"/>
      <c r="G612" s="56"/>
      <c r="H612" s="57"/>
      <c r="I612" s="68"/>
    </row>
    <row r="613" spans="1:9" x14ac:dyDescent="0.2">
      <c r="A613" s="69"/>
      <c r="B613" s="69"/>
      <c r="C613" s="69"/>
      <c r="D613" s="69"/>
      <c r="E613" s="69"/>
      <c r="F613" s="69"/>
      <c r="G613" s="56"/>
      <c r="H613" s="57"/>
      <c r="I613" s="68"/>
    </row>
    <row r="614" spans="1:9" x14ac:dyDescent="0.2">
      <c r="A614" s="69"/>
      <c r="B614" s="69"/>
      <c r="C614" s="69"/>
      <c r="D614" s="69"/>
      <c r="E614" s="69"/>
      <c r="F614" s="69"/>
      <c r="G614" s="56"/>
      <c r="H614" s="57"/>
      <c r="I614" s="68"/>
    </row>
    <row r="615" spans="1:9" x14ac:dyDescent="0.2">
      <c r="A615" s="69"/>
      <c r="B615" s="69"/>
      <c r="C615" s="69"/>
      <c r="D615" s="69"/>
      <c r="E615" s="69"/>
      <c r="F615" s="69"/>
      <c r="G615" s="56"/>
      <c r="H615" s="57"/>
      <c r="I615" s="68"/>
    </row>
    <row r="616" spans="1:9" x14ac:dyDescent="0.2">
      <c r="A616" s="69"/>
      <c r="B616" s="69"/>
      <c r="C616" s="69"/>
      <c r="D616" s="69"/>
      <c r="E616" s="69"/>
      <c r="F616" s="69"/>
      <c r="G616" s="56"/>
      <c r="H616" s="57"/>
      <c r="I616" s="68"/>
    </row>
    <row r="617" spans="1:9" x14ac:dyDescent="0.2">
      <c r="A617" s="69"/>
      <c r="B617" s="69"/>
      <c r="C617" s="69"/>
      <c r="D617" s="69"/>
      <c r="E617" s="69"/>
      <c r="F617" s="69"/>
      <c r="G617" s="56"/>
      <c r="H617" s="57"/>
      <c r="I617" s="68"/>
    </row>
    <row r="618" spans="1:9" x14ac:dyDescent="0.2">
      <c r="A618" s="69"/>
      <c r="B618" s="69"/>
      <c r="C618" s="69"/>
      <c r="D618" s="69"/>
      <c r="E618" s="69"/>
      <c r="F618" s="69"/>
      <c r="G618" s="56"/>
      <c r="H618" s="57"/>
      <c r="I618" s="68"/>
    </row>
    <row r="619" spans="1:9" x14ac:dyDescent="0.2">
      <c r="A619" s="69"/>
      <c r="B619" s="69"/>
      <c r="C619" s="69"/>
      <c r="D619" s="69"/>
      <c r="E619" s="69"/>
      <c r="F619" s="69"/>
      <c r="G619" s="56"/>
      <c r="H619" s="57"/>
      <c r="I619" s="68"/>
    </row>
    <row r="620" spans="1:9" x14ac:dyDescent="0.2">
      <c r="A620" s="69"/>
      <c r="B620" s="69"/>
      <c r="C620" s="69"/>
      <c r="D620" s="69"/>
      <c r="E620" s="69"/>
      <c r="F620" s="69"/>
      <c r="G620" s="56"/>
      <c r="H620" s="57"/>
      <c r="I620" s="68"/>
    </row>
    <row r="621" spans="1:9" x14ac:dyDescent="0.2">
      <c r="A621" s="69"/>
      <c r="B621" s="69"/>
      <c r="C621" s="69"/>
      <c r="D621" s="69"/>
      <c r="E621" s="69"/>
      <c r="F621" s="69"/>
      <c r="G621" s="56"/>
      <c r="H621" s="57"/>
      <c r="I621" s="68"/>
    </row>
    <row r="622" spans="1:9" x14ac:dyDescent="0.2">
      <c r="A622" s="69"/>
      <c r="B622" s="69"/>
      <c r="C622" s="69"/>
      <c r="D622" s="69"/>
      <c r="E622" s="69"/>
      <c r="F622" s="69"/>
      <c r="G622" s="56"/>
      <c r="H622" s="57"/>
      <c r="I622" s="68"/>
    </row>
    <row r="623" spans="1:9" x14ac:dyDescent="0.2">
      <c r="A623" s="69"/>
      <c r="B623" s="69"/>
      <c r="C623" s="69"/>
      <c r="D623" s="69"/>
      <c r="E623" s="69"/>
      <c r="F623" s="69"/>
      <c r="G623" s="56"/>
      <c r="H623" s="57"/>
      <c r="I623" s="68"/>
    </row>
    <row r="624" spans="1:9" x14ac:dyDescent="0.2">
      <c r="A624" s="69"/>
      <c r="B624" s="69"/>
      <c r="C624" s="69"/>
      <c r="D624" s="69"/>
      <c r="E624" s="69"/>
      <c r="F624" s="69"/>
      <c r="G624" s="56"/>
      <c r="H624" s="57"/>
      <c r="I624" s="68"/>
    </row>
    <row r="625" spans="1:9" x14ac:dyDescent="0.2">
      <c r="A625" s="69"/>
      <c r="B625" s="69"/>
      <c r="C625" s="69"/>
      <c r="D625" s="69"/>
      <c r="E625" s="69"/>
      <c r="F625" s="69"/>
      <c r="G625" s="56"/>
      <c r="H625" s="57"/>
      <c r="I625" s="68"/>
    </row>
    <row r="626" spans="1:9" x14ac:dyDescent="0.2">
      <c r="A626" s="69"/>
      <c r="B626" s="69"/>
      <c r="C626" s="69"/>
      <c r="D626" s="69"/>
      <c r="E626" s="69"/>
      <c r="F626" s="69"/>
      <c r="G626" s="56"/>
      <c r="H626" s="57"/>
      <c r="I626" s="68"/>
    </row>
    <row r="627" spans="1:9" x14ac:dyDescent="0.2">
      <c r="A627" s="69"/>
      <c r="B627" s="69"/>
      <c r="C627" s="69"/>
      <c r="D627" s="69"/>
      <c r="E627" s="69"/>
      <c r="F627" s="69"/>
      <c r="G627" s="56"/>
      <c r="H627" s="57"/>
      <c r="I627" s="68"/>
    </row>
    <row r="628" spans="1:9" x14ac:dyDescent="0.2">
      <c r="A628" s="69"/>
      <c r="B628" s="69"/>
      <c r="C628" s="69"/>
      <c r="D628" s="69"/>
      <c r="E628" s="69"/>
      <c r="F628" s="69"/>
      <c r="G628" s="56"/>
      <c r="H628" s="57"/>
      <c r="I628" s="68"/>
    </row>
    <row r="629" spans="1:9" x14ac:dyDescent="0.2">
      <c r="A629" s="69"/>
      <c r="B629" s="69"/>
      <c r="C629" s="69"/>
      <c r="D629" s="69"/>
      <c r="E629" s="69"/>
      <c r="F629" s="69"/>
      <c r="G629" s="56"/>
      <c r="H629" s="57"/>
      <c r="I629" s="68"/>
    </row>
    <row r="630" spans="1:9" x14ac:dyDescent="0.2">
      <c r="A630" s="69"/>
      <c r="B630" s="69"/>
      <c r="C630" s="69"/>
      <c r="D630" s="69"/>
      <c r="E630" s="69"/>
      <c r="F630" s="69"/>
      <c r="G630" s="56"/>
      <c r="H630" s="57"/>
      <c r="I630" s="68"/>
    </row>
    <row r="631" spans="1:9" x14ac:dyDescent="0.2">
      <c r="A631" s="69"/>
      <c r="B631" s="69"/>
      <c r="C631" s="69"/>
      <c r="D631" s="69"/>
      <c r="E631" s="69"/>
      <c r="F631" s="69"/>
      <c r="G631" s="56"/>
      <c r="H631" s="57"/>
      <c r="I631" s="68"/>
    </row>
    <row r="632" spans="1:9" x14ac:dyDescent="0.2">
      <c r="A632" s="69"/>
      <c r="B632" s="69"/>
      <c r="C632" s="69"/>
      <c r="D632" s="69"/>
      <c r="E632" s="69"/>
      <c r="F632" s="69"/>
      <c r="G632" s="56"/>
      <c r="H632" s="57"/>
      <c r="I632" s="68"/>
    </row>
    <row r="633" spans="1:9" x14ac:dyDescent="0.2">
      <c r="A633" s="69"/>
      <c r="B633" s="69"/>
      <c r="C633" s="69"/>
      <c r="D633" s="69"/>
      <c r="E633" s="69"/>
      <c r="F633" s="69"/>
      <c r="G633" s="56"/>
      <c r="H633" s="57"/>
      <c r="I633" s="68"/>
    </row>
    <row r="634" spans="1:9" x14ac:dyDescent="0.2">
      <c r="A634" s="69"/>
      <c r="B634" s="69"/>
      <c r="C634" s="69"/>
      <c r="D634" s="69"/>
      <c r="E634" s="69"/>
      <c r="F634" s="69"/>
      <c r="G634" s="56"/>
      <c r="H634" s="57"/>
      <c r="I634" s="68"/>
    </row>
    <row r="635" spans="1:9" x14ac:dyDescent="0.2">
      <c r="A635" s="69"/>
      <c r="B635" s="69"/>
      <c r="C635" s="69"/>
      <c r="D635" s="69"/>
      <c r="E635" s="69"/>
      <c r="F635" s="69"/>
      <c r="G635" s="56"/>
      <c r="H635" s="57"/>
      <c r="I635" s="68"/>
    </row>
    <row r="636" spans="1:9" x14ac:dyDescent="0.2">
      <c r="A636" s="69"/>
      <c r="B636" s="69"/>
      <c r="C636" s="69"/>
      <c r="D636" s="69"/>
      <c r="E636" s="69"/>
      <c r="F636" s="69"/>
      <c r="G636" s="56"/>
      <c r="H636" s="57"/>
      <c r="I636" s="68"/>
    </row>
    <row r="637" spans="1:9" x14ac:dyDescent="0.2">
      <c r="A637" s="69"/>
      <c r="B637" s="69"/>
      <c r="C637" s="69"/>
      <c r="D637" s="69"/>
      <c r="E637" s="69"/>
      <c r="F637" s="69"/>
      <c r="G637" s="56"/>
      <c r="H637" s="57"/>
      <c r="I637" s="68"/>
    </row>
    <row r="638" spans="1:9" x14ac:dyDescent="0.2">
      <c r="A638" s="69"/>
      <c r="B638" s="69"/>
      <c r="C638" s="69"/>
      <c r="D638" s="69"/>
      <c r="E638" s="69"/>
      <c r="F638" s="69"/>
      <c r="G638" s="56"/>
      <c r="H638" s="57"/>
      <c r="I638" s="68"/>
    </row>
    <row r="639" spans="1:9" x14ac:dyDescent="0.2">
      <c r="A639" s="69"/>
      <c r="B639" s="69"/>
      <c r="C639" s="69"/>
      <c r="D639" s="69"/>
      <c r="E639" s="69"/>
      <c r="F639" s="69"/>
      <c r="G639" s="56"/>
      <c r="H639" s="57"/>
      <c r="I639" s="68"/>
    </row>
    <row r="640" spans="1:9" x14ac:dyDescent="0.2">
      <c r="A640" s="69"/>
      <c r="B640" s="69"/>
      <c r="C640" s="69"/>
      <c r="D640" s="69"/>
      <c r="E640" s="69"/>
      <c r="F640" s="69"/>
      <c r="G640" s="56"/>
      <c r="H640" s="57"/>
      <c r="I640" s="68"/>
    </row>
    <row r="641" spans="1:9" x14ac:dyDescent="0.2">
      <c r="A641" s="69"/>
      <c r="B641" s="69"/>
      <c r="C641" s="69"/>
      <c r="D641" s="69"/>
      <c r="E641" s="69"/>
      <c r="F641" s="69"/>
      <c r="G641" s="56"/>
      <c r="H641" s="57"/>
      <c r="I641" s="68"/>
    </row>
    <row r="642" spans="1:9" x14ac:dyDescent="0.2">
      <c r="A642" s="69"/>
      <c r="B642" s="69"/>
      <c r="C642" s="69"/>
      <c r="D642" s="69"/>
      <c r="E642" s="69"/>
      <c r="F642" s="69"/>
      <c r="G642" s="56"/>
      <c r="H642" s="57"/>
      <c r="I642" s="68"/>
    </row>
    <row r="643" spans="1:9" x14ac:dyDescent="0.2">
      <c r="A643" s="69"/>
      <c r="B643" s="69"/>
      <c r="C643" s="69"/>
      <c r="D643" s="69"/>
      <c r="E643" s="69"/>
      <c r="F643" s="69"/>
      <c r="G643" s="56"/>
      <c r="H643" s="57"/>
      <c r="I643" s="68"/>
    </row>
    <row r="644" spans="1:9" x14ac:dyDescent="0.2">
      <c r="A644" s="69"/>
      <c r="B644" s="69"/>
      <c r="C644" s="69"/>
      <c r="D644" s="69"/>
      <c r="E644" s="69"/>
      <c r="F644" s="69"/>
      <c r="G644" s="56"/>
      <c r="H644" s="57"/>
      <c r="I644" s="68"/>
    </row>
    <row r="645" spans="1:9" x14ac:dyDescent="0.2">
      <c r="A645" s="69"/>
      <c r="B645" s="69"/>
      <c r="C645" s="69"/>
      <c r="D645" s="69"/>
      <c r="E645" s="69"/>
      <c r="F645" s="69"/>
      <c r="G645" s="56"/>
      <c r="H645" s="57"/>
      <c r="I645" s="68"/>
    </row>
    <row r="646" spans="1:9" x14ac:dyDescent="0.2">
      <c r="A646" s="69"/>
      <c r="B646" s="69"/>
      <c r="C646" s="69"/>
      <c r="D646" s="69"/>
      <c r="E646" s="69"/>
      <c r="F646" s="69"/>
      <c r="G646" s="56"/>
      <c r="H646" s="57"/>
      <c r="I646" s="68"/>
    </row>
    <row r="647" spans="1:9" x14ac:dyDescent="0.2">
      <c r="A647" s="69"/>
      <c r="B647" s="69"/>
      <c r="C647" s="69"/>
      <c r="D647" s="69"/>
      <c r="E647" s="69"/>
      <c r="F647" s="69"/>
      <c r="G647" s="56"/>
      <c r="H647" s="57"/>
      <c r="I647" s="68"/>
    </row>
    <row r="648" spans="1:9" x14ac:dyDescent="0.2">
      <c r="A648" s="69"/>
      <c r="B648" s="69"/>
      <c r="C648" s="69"/>
      <c r="D648" s="69"/>
      <c r="E648" s="69"/>
      <c r="F648" s="69"/>
      <c r="G648" s="56"/>
      <c r="H648" s="57"/>
      <c r="I648" s="68"/>
    </row>
    <row r="649" spans="1:9" x14ac:dyDescent="0.2">
      <c r="A649" s="69"/>
      <c r="B649" s="69"/>
      <c r="C649" s="69"/>
      <c r="D649" s="69"/>
      <c r="E649" s="69"/>
      <c r="F649" s="69"/>
      <c r="G649" s="56"/>
      <c r="H649" s="57"/>
      <c r="I649" s="68"/>
    </row>
    <row r="650" spans="1:9" x14ac:dyDescent="0.2">
      <c r="A650" s="69"/>
      <c r="B650" s="69"/>
      <c r="C650" s="69"/>
      <c r="D650" s="69"/>
      <c r="E650" s="69"/>
      <c r="F650" s="69"/>
      <c r="G650" s="56"/>
      <c r="H650" s="57"/>
      <c r="I650" s="68"/>
    </row>
    <row r="651" spans="1:9" x14ac:dyDescent="0.2">
      <c r="A651" s="69"/>
      <c r="B651" s="69"/>
      <c r="C651" s="69"/>
      <c r="D651" s="69"/>
      <c r="E651" s="69"/>
      <c r="F651" s="69"/>
      <c r="G651" s="56"/>
      <c r="H651" s="57"/>
      <c r="I651" s="68"/>
    </row>
    <row r="652" spans="1:9" x14ac:dyDescent="0.2">
      <c r="A652" s="69"/>
      <c r="B652" s="69"/>
      <c r="C652" s="69"/>
      <c r="D652" s="69"/>
      <c r="E652" s="69"/>
      <c r="F652" s="69"/>
      <c r="G652" s="56"/>
      <c r="H652" s="57"/>
      <c r="I652" s="68"/>
    </row>
    <row r="653" spans="1:9" x14ac:dyDescent="0.2">
      <c r="A653" s="69"/>
      <c r="B653" s="69"/>
      <c r="C653" s="69"/>
      <c r="D653" s="69"/>
      <c r="E653" s="69"/>
      <c r="F653" s="69"/>
      <c r="G653" s="56"/>
      <c r="H653" s="57"/>
      <c r="I653" s="68"/>
    </row>
    <row r="654" spans="1:9" x14ac:dyDescent="0.2">
      <c r="A654" s="69"/>
      <c r="B654" s="69"/>
      <c r="C654" s="69"/>
      <c r="D654" s="69"/>
      <c r="E654" s="69"/>
      <c r="F654" s="69"/>
      <c r="G654" s="56"/>
      <c r="H654" s="57"/>
      <c r="I654" s="68"/>
    </row>
    <row r="655" spans="1:9" x14ac:dyDescent="0.2">
      <c r="A655" s="69"/>
      <c r="B655" s="69"/>
      <c r="C655" s="69"/>
      <c r="D655" s="69"/>
      <c r="E655" s="69"/>
      <c r="F655" s="69"/>
      <c r="G655" s="56"/>
      <c r="H655" s="57"/>
      <c r="I655" s="68"/>
    </row>
    <row r="656" spans="1:9" x14ac:dyDescent="0.2">
      <c r="A656" s="69"/>
      <c r="B656" s="69"/>
      <c r="C656" s="69"/>
      <c r="D656" s="69"/>
      <c r="E656" s="69"/>
      <c r="F656" s="69"/>
      <c r="G656" s="56"/>
      <c r="H656" s="57"/>
      <c r="I656" s="68"/>
    </row>
    <row r="657" spans="1:9" x14ac:dyDescent="0.2">
      <c r="A657" s="69"/>
      <c r="B657" s="69"/>
      <c r="C657" s="69"/>
      <c r="D657" s="69"/>
      <c r="E657" s="69"/>
      <c r="F657" s="69"/>
      <c r="G657" s="56"/>
      <c r="H657" s="57"/>
      <c r="I657" s="68"/>
    </row>
    <row r="658" spans="1:9" x14ac:dyDescent="0.2">
      <c r="A658" s="69"/>
      <c r="B658" s="69"/>
      <c r="C658" s="69"/>
      <c r="D658" s="69"/>
      <c r="E658" s="69"/>
      <c r="F658" s="69"/>
      <c r="G658" s="56"/>
      <c r="H658" s="57"/>
      <c r="I658" s="68"/>
    </row>
    <row r="659" spans="1:9" x14ac:dyDescent="0.2">
      <c r="A659" s="69"/>
      <c r="B659" s="69"/>
      <c r="C659" s="69"/>
      <c r="D659" s="69"/>
      <c r="E659" s="69"/>
      <c r="F659" s="69"/>
      <c r="G659" s="56"/>
      <c r="H659" s="57"/>
      <c r="I659" s="68"/>
    </row>
    <row r="660" spans="1:9" x14ac:dyDescent="0.2">
      <c r="A660" s="69"/>
      <c r="B660" s="69"/>
      <c r="C660" s="69"/>
      <c r="D660" s="69"/>
      <c r="E660" s="69"/>
      <c r="F660" s="69"/>
      <c r="G660" s="56"/>
      <c r="H660" s="57"/>
      <c r="I660" s="68"/>
    </row>
    <row r="661" spans="1:9" x14ac:dyDescent="0.2">
      <c r="A661" s="69"/>
      <c r="B661" s="69"/>
      <c r="C661" s="69"/>
      <c r="D661" s="69"/>
      <c r="E661" s="69"/>
      <c r="F661" s="69"/>
      <c r="G661" s="56"/>
      <c r="H661" s="57"/>
      <c r="I661" s="68"/>
    </row>
    <row r="662" spans="1:9" x14ac:dyDescent="0.2">
      <c r="A662" s="69"/>
      <c r="B662" s="69"/>
      <c r="C662" s="69"/>
      <c r="D662" s="69"/>
      <c r="E662" s="69"/>
      <c r="F662" s="69"/>
      <c r="G662" s="56"/>
      <c r="H662" s="57"/>
      <c r="I662" s="68"/>
    </row>
    <row r="663" spans="1:9" x14ac:dyDescent="0.2">
      <c r="A663" s="69"/>
      <c r="B663" s="69"/>
      <c r="C663" s="69"/>
      <c r="D663" s="69"/>
      <c r="E663" s="69"/>
      <c r="F663" s="69"/>
      <c r="G663" s="56"/>
      <c r="H663" s="57"/>
      <c r="I663" s="68"/>
    </row>
    <row r="664" spans="1:9" x14ac:dyDescent="0.2">
      <c r="A664" s="69"/>
      <c r="B664" s="69"/>
      <c r="C664" s="69"/>
      <c r="D664" s="69"/>
      <c r="E664" s="69"/>
      <c r="F664" s="69"/>
      <c r="G664" s="56"/>
      <c r="H664" s="57"/>
      <c r="I664" s="68"/>
    </row>
    <row r="665" spans="1:9" x14ac:dyDescent="0.2">
      <c r="A665" s="69"/>
      <c r="B665" s="69"/>
      <c r="C665" s="69"/>
      <c r="D665" s="69"/>
      <c r="E665" s="69"/>
      <c r="F665" s="69"/>
      <c r="G665" s="56"/>
      <c r="H665" s="57"/>
      <c r="I665" s="68"/>
    </row>
    <row r="666" spans="1:9" x14ac:dyDescent="0.2">
      <c r="A666" s="69"/>
      <c r="B666" s="69"/>
      <c r="C666" s="69"/>
      <c r="D666" s="69"/>
      <c r="E666" s="69"/>
      <c r="F666" s="69"/>
      <c r="G666" s="56"/>
      <c r="H666" s="57"/>
      <c r="I666" s="68"/>
    </row>
    <row r="667" spans="1:9" x14ac:dyDescent="0.2">
      <c r="A667" s="69"/>
      <c r="B667" s="69"/>
      <c r="C667" s="69"/>
      <c r="D667" s="69"/>
      <c r="E667" s="69"/>
      <c r="F667" s="69"/>
      <c r="G667" s="56"/>
      <c r="H667" s="57"/>
      <c r="I667" s="68"/>
    </row>
    <row r="668" spans="1:9" x14ac:dyDescent="0.2">
      <c r="A668" s="69"/>
      <c r="B668" s="69"/>
      <c r="C668" s="69"/>
      <c r="D668" s="69"/>
      <c r="E668" s="69"/>
      <c r="F668" s="69"/>
      <c r="G668" s="56"/>
      <c r="H668" s="57"/>
      <c r="I668" s="68"/>
    </row>
    <row r="669" spans="1:9" x14ac:dyDescent="0.2">
      <c r="A669" s="69"/>
      <c r="B669" s="69"/>
      <c r="C669" s="69"/>
      <c r="D669" s="69"/>
      <c r="E669" s="69"/>
      <c r="F669" s="69"/>
      <c r="G669" s="56"/>
      <c r="H669" s="57"/>
      <c r="I669" s="68"/>
    </row>
    <row r="670" spans="1:9" x14ac:dyDescent="0.2">
      <c r="A670" s="69"/>
      <c r="B670" s="69"/>
      <c r="C670" s="69"/>
      <c r="D670" s="69"/>
      <c r="E670" s="69"/>
      <c r="F670" s="69"/>
      <c r="G670" s="56"/>
      <c r="H670" s="57"/>
      <c r="I670" s="68"/>
    </row>
    <row r="671" spans="1:9" x14ac:dyDescent="0.2">
      <c r="A671" s="69"/>
      <c r="B671" s="69"/>
      <c r="C671" s="69"/>
      <c r="D671" s="69"/>
      <c r="E671" s="69"/>
      <c r="F671" s="69"/>
      <c r="G671" s="56"/>
      <c r="H671" s="57"/>
      <c r="I671" s="68"/>
    </row>
    <row r="672" spans="1:9" x14ac:dyDescent="0.2">
      <c r="A672" s="69"/>
      <c r="B672" s="69"/>
      <c r="C672" s="69"/>
      <c r="D672" s="69"/>
      <c r="E672" s="69"/>
      <c r="F672" s="69"/>
      <c r="G672" s="56"/>
      <c r="H672" s="57"/>
      <c r="I672" s="68"/>
    </row>
    <row r="673" spans="1:9" x14ac:dyDescent="0.2">
      <c r="A673" s="69"/>
      <c r="B673" s="69"/>
      <c r="C673" s="69"/>
      <c r="D673" s="69"/>
      <c r="E673" s="69"/>
      <c r="F673" s="69"/>
      <c r="G673" s="56"/>
      <c r="H673" s="57"/>
      <c r="I673" s="68"/>
    </row>
    <row r="674" spans="1:9" x14ac:dyDescent="0.2">
      <c r="A674" s="69"/>
      <c r="B674" s="69"/>
      <c r="C674" s="69"/>
      <c r="D674" s="69"/>
      <c r="E674" s="69"/>
      <c r="F674" s="69"/>
      <c r="G674" s="56"/>
      <c r="H674" s="57"/>
      <c r="I674" s="68"/>
    </row>
    <row r="675" spans="1:9" x14ac:dyDescent="0.2">
      <c r="A675" s="69"/>
      <c r="B675" s="69"/>
      <c r="C675" s="69"/>
      <c r="D675" s="69"/>
      <c r="E675" s="69"/>
      <c r="F675" s="69"/>
      <c r="G675" s="56"/>
      <c r="H675" s="57"/>
      <c r="I675" s="68"/>
    </row>
    <row r="676" spans="1:9" x14ac:dyDescent="0.2">
      <c r="A676" s="69"/>
      <c r="B676" s="69"/>
      <c r="C676" s="69"/>
      <c r="D676" s="69"/>
      <c r="E676" s="69"/>
      <c r="F676" s="69"/>
      <c r="G676" s="56"/>
      <c r="H676" s="57"/>
      <c r="I676" s="68"/>
    </row>
    <row r="677" spans="1:9" x14ac:dyDescent="0.2">
      <c r="A677" s="69"/>
      <c r="B677" s="69"/>
      <c r="C677" s="69"/>
      <c r="D677" s="69"/>
      <c r="E677" s="69"/>
      <c r="F677" s="69"/>
      <c r="G677" s="56"/>
      <c r="H677" s="57"/>
      <c r="I677" s="68"/>
    </row>
    <row r="678" spans="1:9" x14ac:dyDescent="0.2">
      <c r="A678" s="69"/>
      <c r="B678" s="69"/>
      <c r="C678" s="69"/>
      <c r="D678" s="69"/>
      <c r="E678" s="69"/>
      <c r="F678" s="69"/>
      <c r="G678" s="56"/>
      <c r="H678" s="57"/>
      <c r="I678" s="68"/>
    </row>
    <row r="679" spans="1:9" x14ac:dyDescent="0.2">
      <c r="A679" s="69"/>
      <c r="B679" s="69"/>
      <c r="C679" s="69"/>
      <c r="D679" s="69"/>
      <c r="E679" s="69"/>
      <c r="F679" s="69"/>
      <c r="G679" s="56"/>
      <c r="H679" s="57"/>
      <c r="I679" s="68"/>
    </row>
    <row r="680" spans="1:9" x14ac:dyDescent="0.2">
      <c r="A680" s="69"/>
      <c r="B680" s="69"/>
      <c r="C680" s="69"/>
      <c r="D680" s="69"/>
      <c r="E680" s="69"/>
      <c r="F680" s="69"/>
      <c r="G680" s="56"/>
      <c r="H680" s="57"/>
      <c r="I680" s="68"/>
    </row>
    <row r="681" spans="1:9" x14ac:dyDescent="0.2">
      <c r="A681" s="69"/>
      <c r="B681" s="69"/>
      <c r="C681" s="69"/>
      <c r="D681" s="69"/>
      <c r="E681" s="69"/>
      <c r="F681" s="69"/>
      <c r="G681" s="56"/>
      <c r="H681" s="57"/>
      <c r="I681" s="68"/>
    </row>
    <row r="682" spans="1:9" x14ac:dyDescent="0.2">
      <c r="A682" s="69"/>
      <c r="B682" s="69"/>
      <c r="C682" s="69"/>
      <c r="D682" s="69"/>
      <c r="E682" s="69"/>
      <c r="F682" s="69"/>
      <c r="G682" s="56"/>
      <c r="H682" s="57"/>
      <c r="I682" s="68"/>
    </row>
    <row r="683" spans="1:9" x14ac:dyDescent="0.2">
      <c r="A683" s="69"/>
      <c r="B683" s="69"/>
      <c r="C683" s="69"/>
      <c r="D683" s="69"/>
      <c r="E683" s="69"/>
      <c r="F683" s="69"/>
      <c r="G683" s="56"/>
      <c r="H683" s="57"/>
      <c r="I683" s="68"/>
    </row>
    <row r="684" spans="1:9" x14ac:dyDescent="0.2">
      <c r="A684" s="69"/>
      <c r="B684" s="69"/>
      <c r="C684" s="69"/>
      <c r="D684" s="69"/>
      <c r="E684" s="69"/>
      <c r="F684" s="69"/>
      <c r="G684" s="56"/>
      <c r="H684" s="57"/>
      <c r="I684" s="68"/>
    </row>
    <row r="685" spans="1:9" x14ac:dyDescent="0.2">
      <c r="A685" s="69"/>
      <c r="B685" s="69"/>
      <c r="C685" s="69"/>
      <c r="D685" s="69"/>
      <c r="E685" s="69"/>
      <c r="F685" s="69"/>
      <c r="G685" s="56"/>
      <c r="H685" s="57"/>
      <c r="I685" s="68"/>
    </row>
    <row r="686" spans="1:9" x14ac:dyDescent="0.2">
      <c r="A686" s="69"/>
      <c r="B686" s="69"/>
      <c r="C686" s="69"/>
      <c r="D686" s="69"/>
      <c r="E686" s="69"/>
      <c r="F686" s="69"/>
      <c r="G686" s="56"/>
      <c r="H686" s="57"/>
      <c r="I686" s="68"/>
    </row>
    <row r="687" spans="1:9" x14ac:dyDescent="0.2">
      <c r="A687" s="69"/>
      <c r="B687" s="69"/>
      <c r="C687" s="69"/>
      <c r="D687" s="69"/>
      <c r="E687" s="69"/>
      <c r="F687" s="69"/>
      <c r="G687" s="56"/>
      <c r="H687" s="57"/>
      <c r="I687" s="68"/>
    </row>
    <row r="688" spans="1:9" x14ac:dyDescent="0.2">
      <c r="A688" s="69"/>
      <c r="B688" s="69"/>
      <c r="C688" s="69"/>
      <c r="D688" s="69"/>
      <c r="E688" s="69"/>
      <c r="F688" s="69"/>
      <c r="G688" s="56"/>
      <c r="H688" s="57"/>
      <c r="I688" s="68"/>
    </row>
    <row r="689" spans="1:9" x14ac:dyDescent="0.2">
      <c r="A689" s="69"/>
      <c r="B689" s="69"/>
      <c r="C689" s="69"/>
      <c r="D689" s="69"/>
      <c r="E689" s="69"/>
      <c r="F689" s="69"/>
      <c r="G689" s="56"/>
      <c r="H689" s="57"/>
      <c r="I689" s="68"/>
    </row>
    <row r="690" spans="1:9" x14ac:dyDescent="0.2">
      <c r="A690" s="69"/>
      <c r="B690" s="69"/>
      <c r="C690" s="69"/>
      <c r="D690" s="69"/>
      <c r="E690" s="69"/>
      <c r="F690" s="69"/>
      <c r="G690" s="56"/>
      <c r="H690" s="57"/>
      <c r="I690" s="68"/>
    </row>
    <row r="691" spans="1:9" x14ac:dyDescent="0.2">
      <c r="A691" s="69"/>
      <c r="B691" s="69"/>
      <c r="C691" s="69"/>
      <c r="D691" s="69"/>
      <c r="E691" s="69"/>
      <c r="F691" s="69"/>
      <c r="G691" s="56"/>
      <c r="H691" s="57"/>
      <c r="I691" s="68"/>
    </row>
    <row r="692" spans="1:9" x14ac:dyDescent="0.2">
      <c r="A692" s="69"/>
      <c r="B692" s="69"/>
      <c r="C692" s="69"/>
      <c r="D692" s="69"/>
      <c r="E692" s="69"/>
      <c r="F692" s="69"/>
      <c r="G692" s="56"/>
      <c r="H692" s="57"/>
      <c r="I692" s="68"/>
    </row>
    <row r="693" spans="1:9" x14ac:dyDescent="0.2">
      <c r="A693" s="69"/>
      <c r="B693" s="69"/>
      <c r="C693" s="69"/>
      <c r="D693" s="69"/>
      <c r="E693" s="69"/>
      <c r="F693" s="69"/>
      <c r="G693" s="56"/>
      <c r="H693" s="57"/>
      <c r="I693" s="68"/>
    </row>
    <row r="694" spans="1:9" x14ac:dyDescent="0.2">
      <c r="A694" s="69"/>
      <c r="B694" s="69"/>
      <c r="C694" s="69"/>
      <c r="D694" s="69"/>
      <c r="E694" s="69"/>
      <c r="F694" s="69"/>
      <c r="G694" s="56"/>
      <c r="H694" s="57"/>
      <c r="I694" s="68"/>
    </row>
    <row r="695" spans="1:9" x14ac:dyDescent="0.2">
      <c r="A695" s="69"/>
      <c r="B695" s="69"/>
      <c r="C695" s="69"/>
      <c r="D695" s="69"/>
      <c r="E695" s="69"/>
      <c r="F695" s="69"/>
      <c r="G695" s="56"/>
      <c r="H695" s="57"/>
      <c r="I695" s="68"/>
    </row>
    <row r="696" spans="1:9" x14ac:dyDescent="0.2">
      <c r="A696" s="69"/>
      <c r="B696" s="69"/>
      <c r="C696" s="69"/>
      <c r="D696" s="69"/>
      <c r="E696" s="69"/>
      <c r="F696" s="69"/>
      <c r="G696" s="56"/>
      <c r="H696" s="57"/>
      <c r="I696" s="68"/>
    </row>
    <row r="697" spans="1:9" x14ac:dyDescent="0.2">
      <c r="A697" s="69"/>
      <c r="B697" s="69"/>
      <c r="C697" s="69"/>
      <c r="D697" s="69"/>
      <c r="E697" s="69"/>
      <c r="F697" s="69"/>
      <c r="G697" s="56"/>
      <c r="H697" s="57"/>
      <c r="I697" s="68"/>
    </row>
    <row r="698" spans="1:9" x14ac:dyDescent="0.2">
      <c r="A698" s="69"/>
      <c r="B698" s="69"/>
      <c r="C698" s="69"/>
      <c r="D698" s="69"/>
      <c r="E698" s="69"/>
      <c r="F698" s="69"/>
      <c r="G698" s="56"/>
      <c r="H698" s="57"/>
      <c r="I698" s="68"/>
    </row>
    <row r="699" spans="1:9" x14ac:dyDescent="0.2">
      <c r="A699" s="69"/>
      <c r="B699" s="69"/>
      <c r="C699" s="69"/>
      <c r="D699" s="69"/>
      <c r="E699" s="69"/>
      <c r="F699" s="69"/>
      <c r="G699" s="56"/>
      <c r="H699" s="57"/>
      <c r="I699" s="68"/>
    </row>
    <row r="700" spans="1:9" x14ac:dyDescent="0.2">
      <c r="A700" s="69"/>
      <c r="B700" s="69"/>
      <c r="C700" s="69"/>
      <c r="D700" s="69"/>
      <c r="E700" s="69"/>
      <c r="F700" s="69"/>
      <c r="G700" s="56"/>
      <c r="H700" s="57"/>
      <c r="I700" s="68"/>
    </row>
    <row r="701" spans="1:9" x14ac:dyDescent="0.2">
      <c r="A701" s="69"/>
      <c r="B701" s="69"/>
      <c r="C701" s="69"/>
      <c r="D701" s="69"/>
      <c r="E701" s="69"/>
      <c r="F701" s="69"/>
      <c r="G701" s="56"/>
      <c r="H701" s="57"/>
      <c r="I701" s="68"/>
    </row>
    <row r="702" spans="1:9" x14ac:dyDescent="0.2">
      <c r="A702" s="69"/>
      <c r="B702" s="69"/>
      <c r="C702" s="69"/>
      <c r="D702" s="69"/>
      <c r="E702" s="69"/>
      <c r="F702" s="69"/>
      <c r="G702" s="56"/>
      <c r="H702" s="57"/>
      <c r="I702" s="68"/>
    </row>
    <row r="703" spans="1:9" x14ac:dyDescent="0.2">
      <c r="A703" s="69"/>
      <c r="B703" s="69"/>
      <c r="C703" s="69"/>
      <c r="D703" s="69"/>
      <c r="E703" s="69"/>
      <c r="F703" s="69"/>
      <c r="G703" s="56"/>
      <c r="H703" s="57"/>
      <c r="I703" s="68"/>
    </row>
    <row r="704" spans="1:9" x14ac:dyDescent="0.2">
      <c r="A704" s="69"/>
      <c r="B704" s="69"/>
      <c r="C704" s="69"/>
      <c r="D704" s="69"/>
      <c r="E704" s="69"/>
      <c r="F704" s="69"/>
      <c r="G704" s="56"/>
      <c r="H704" s="57"/>
      <c r="I704" s="68"/>
    </row>
    <row r="705" spans="1:9" x14ac:dyDescent="0.2">
      <c r="A705" s="69"/>
      <c r="B705" s="69"/>
      <c r="C705" s="69"/>
      <c r="D705" s="69"/>
      <c r="E705" s="69"/>
      <c r="F705" s="69"/>
      <c r="G705" s="56"/>
      <c r="H705" s="57"/>
      <c r="I705" s="68"/>
    </row>
    <row r="706" spans="1:9" x14ac:dyDescent="0.2">
      <c r="A706" s="69"/>
      <c r="B706" s="69"/>
      <c r="C706" s="69"/>
      <c r="D706" s="69"/>
      <c r="E706" s="69"/>
      <c r="F706" s="69"/>
      <c r="G706" s="56"/>
      <c r="H706" s="57"/>
      <c r="I706" s="68"/>
    </row>
    <row r="707" spans="1:9" x14ac:dyDescent="0.2">
      <c r="A707" s="69"/>
      <c r="B707" s="69"/>
      <c r="C707" s="69"/>
      <c r="D707" s="69"/>
      <c r="E707" s="69"/>
      <c r="F707" s="69"/>
      <c r="G707" s="56"/>
      <c r="H707" s="57"/>
      <c r="I707" s="68"/>
    </row>
    <row r="708" spans="1:9" x14ac:dyDescent="0.2">
      <c r="A708" s="69"/>
      <c r="B708" s="69"/>
      <c r="C708" s="69"/>
      <c r="D708" s="69"/>
      <c r="E708" s="69"/>
      <c r="F708" s="69"/>
      <c r="G708" s="56"/>
      <c r="H708" s="57"/>
      <c r="I708" s="68"/>
    </row>
    <row r="709" spans="1:9" x14ac:dyDescent="0.2">
      <c r="A709" s="69"/>
      <c r="B709" s="69"/>
      <c r="C709" s="69"/>
      <c r="D709" s="69"/>
      <c r="E709" s="69"/>
      <c r="F709" s="69"/>
      <c r="G709" s="56"/>
      <c r="H709" s="57"/>
      <c r="I709" s="68"/>
    </row>
    <row r="710" spans="1:9" x14ac:dyDescent="0.2">
      <c r="A710" s="69"/>
      <c r="B710" s="69"/>
      <c r="C710" s="69"/>
      <c r="D710" s="69"/>
      <c r="E710" s="69"/>
      <c r="F710" s="69"/>
      <c r="G710" s="56"/>
      <c r="H710" s="57"/>
      <c r="I710" s="68"/>
    </row>
    <row r="711" spans="1:9" x14ac:dyDescent="0.2">
      <c r="A711" s="69"/>
      <c r="B711" s="69"/>
      <c r="C711" s="69"/>
      <c r="D711" s="69"/>
      <c r="E711" s="69"/>
      <c r="F711" s="69"/>
      <c r="G711" s="56"/>
      <c r="H711" s="57"/>
      <c r="I711" s="68"/>
    </row>
    <row r="712" spans="1:9" x14ac:dyDescent="0.2">
      <c r="A712" s="69"/>
      <c r="B712" s="69"/>
      <c r="C712" s="69"/>
      <c r="D712" s="69"/>
      <c r="E712" s="69"/>
      <c r="F712" s="69"/>
      <c r="G712" s="56"/>
      <c r="H712" s="57"/>
      <c r="I712" s="68"/>
    </row>
    <row r="713" spans="1:9" x14ac:dyDescent="0.2">
      <c r="A713" s="69"/>
      <c r="B713" s="69"/>
      <c r="C713" s="69"/>
      <c r="D713" s="69"/>
      <c r="E713" s="69"/>
      <c r="F713" s="69"/>
      <c r="G713" s="56"/>
      <c r="H713" s="57"/>
      <c r="I713" s="68"/>
    </row>
    <row r="714" spans="1:9" x14ac:dyDescent="0.2">
      <c r="A714" s="69"/>
      <c r="B714" s="69"/>
      <c r="C714" s="69"/>
      <c r="D714" s="69"/>
      <c r="E714" s="69"/>
      <c r="F714" s="69"/>
      <c r="G714" s="56"/>
      <c r="H714" s="57"/>
      <c r="I714" s="68"/>
    </row>
    <row r="715" spans="1:9" x14ac:dyDescent="0.2">
      <c r="A715" s="69"/>
      <c r="B715" s="69"/>
      <c r="C715" s="69"/>
      <c r="D715" s="69"/>
      <c r="E715" s="69"/>
      <c r="F715" s="69"/>
      <c r="G715" s="56"/>
      <c r="H715" s="57"/>
      <c r="I715" s="68"/>
    </row>
    <row r="716" spans="1:9" x14ac:dyDescent="0.2">
      <c r="A716" s="69"/>
      <c r="B716" s="69"/>
      <c r="C716" s="69"/>
      <c r="D716" s="69"/>
      <c r="E716" s="69"/>
      <c r="F716" s="69"/>
      <c r="G716" s="56"/>
      <c r="H716" s="57"/>
      <c r="I716" s="68"/>
    </row>
    <row r="717" spans="1:9" x14ac:dyDescent="0.2">
      <c r="A717" s="69"/>
      <c r="B717" s="69"/>
      <c r="C717" s="69"/>
      <c r="D717" s="69"/>
      <c r="E717" s="69"/>
      <c r="F717" s="69"/>
      <c r="G717" s="56"/>
      <c r="H717" s="57"/>
      <c r="I717" s="68"/>
    </row>
    <row r="718" spans="1:9" x14ac:dyDescent="0.2">
      <c r="A718" s="69"/>
      <c r="B718" s="69"/>
      <c r="C718" s="69"/>
      <c r="D718" s="69"/>
      <c r="E718" s="69"/>
      <c r="F718" s="69"/>
      <c r="G718" s="56"/>
      <c r="H718" s="57"/>
      <c r="I718" s="68"/>
    </row>
    <row r="719" spans="1:9" x14ac:dyDescent="0.2">
      <c r="A719" s="69"/>
      <c r="B719" s="69"/>
      <c r="C719" s="69"/>
      <c r="D719" s="69"/>
      <c r="E719" s="69"/>
      <c r="F719" s="69"/>
      <c r="G719" s="56"/>
      <c r="H719" s="57"/>
      <c r="I719" s="68"/>
    </row>
    <row r="720" spans="1:9" x14ac:dyDescent="0.2">
      <c r="A720" s="69"/>
      <c r="B720" s="69"/>
      <c r="C720" s="69"/>
      <c r="D720" s="69"/>
      <c r="E720" s="69"/>
      <c r="F720" s="69"/>
      <c r="G720" s="56"/>
      <c r="H720" s="57"/>
      <c r="I720" s="68"/>
    </row>
    <row r="721" spans="1:9" x14ac:dyDescent="0.2">
      <c r="A721" s="69"/>
      <c r="B721" s="69"/>
      <c r="C721" s="69"/>
      <c r="D721" s="69"/>
      <c r="E721" s="69"/>
      <c r="F721" s="69"/>
      <c r="G721" s="56"/>
      <c r="H721" s="57"/>
      <c r="I721" s="68"/>
    </row>
    <row r="722" spans="1:9" x14ac:dyDescent="0.2">
      <c r="A722" s="69"/>
      <c r="B722" s="69"/>
      <c r="C722" s="69"/>
      <c r="D722" s="69"/>
      <c r="E722" s="69"/>
      <c r="F722" s="69"/>
      <c r="G722" s="56"/>
      <c r="H722" s="57"/>
      <c r="I722" s="68"/>
    </row>
    <row r="723" spans="1:9" x14ac:dyDescent="0.2">
      <c r="A723" s="69"/>
      <c r="B723" s="69"/>
      <c r="C723" s="69"/>
      <c r="D723" s="69"/>
      <c r="E723" s="69"/>
      <c r="F723" s="69"/>
      <c r="G723" s="56"/>
      <c r="H723" s="57"/>
      <c r="I723" s="68"/>
    </row>
    <row r="724" spans="1:9" x14ac:dyDescent="0.2">
      <c r="A724" s="69"/>
      <c r="B724" s="69"/>
      <c r="C724" s="69"/>
      <c r="D724" s="69"/>
      <c r="E724" s="69"/>
      <c r="F724" s="69"/>
      <c r="G724" s="56"/>
      <c r="H724" s="57"/>
      <c r="I724" s="68"/>
    </row>
    <row r="725" spans="1:9" x14ac:dyDescent="0.2">
      <c r="A725" s="69"/>
      <c r="B725" s="69"/>
      <c r="C725" s="69"/>
      <c r="D725" s="69"/>
      <c r="E725" s="69"/>
      <c r="F725" s="69"/>
      <c r="G725" s="56"/>
      <c r="H725" s="57"/>
      <c r="I725" s="68"/>
    </row>
    <row r="726" spans="1:9" x14ac:dyDescent="0.2">
      <c r="A726" s="69"/>
      <c r="B726" s="69"/>
      <c r="C726" s="69"/>
      <c r="D726" s="69"/>
      <c r="E726" s="69"/>
      <c r="F726" s="69"/>
      <c r="G726" s="56"/>
      <c r="H726" s="57"/>
      <c r="I726" s="68"/>
    </row>
    <row r="727" spans="1:9" x14ac:dyDescent="0.2">
      <c r="A727" s="69"/>
      <c r="B727" s="69"/>
      <c r="C727" s="69"/>
      <c r="D727" s="69"/>
      <c r="E727" s="69"/>
      <c r="F727" s="69"/>
      <c r="G727" s="56"/>
      <c r="H727" s="57"/>
      <c r="I727" s="68"/>
    </row>
    <row r="728" spans="1:9" x14ac:dyDescent="0.2">
      <c r="A728" s="69"/>
      <c r="B728" s="69"/>
      <c r="C728" s="69"/>
      <c r="D728" s="69"/>
      <c r="E728" s="69"/>
      <c r="F728" s="69"/>
      <c r="G728" s="56"/>
      <c r="H728" s="57"/>
      <c r="I728" s="68"/>
    </row>
    <row r="729" spans="1:9" x14ac:dyDescent="0.2">
      <c r="A729" s="69"/>
      <c r="B729" s="69"/>
      <c r="C729" s="69"/>
      <c r="D729" s="69"/>
      <c r="E729" s="69"/>
      <c r="F729" s="69"/>
      <c r="G729" s="56"/>
      <c r="H729" s="57"/>
      <c r="I729" s="68"/>
    </row>
    <row r="730" spans="1:9" x14ac:dyDescent="0.2">
      <c r="A730" s="69"/>
      <c r="B730" s="69"/>
      <c r="C730" s="69"/>
      <c r="D730" s="69"/>
      <c r="E730" s="69"/>
      <c r="F730" s="69"/>
      <c r="G730" s="56"/>
      <c r="H730" s="57"/>
      <c r="I730" s="68"/>
    </row>
    <row r="731" spans="1:9" x14ac:dyDescent="0.2">
      <c r="A731" s="69"/>
      <c r="B731" s="69"/>
      <c r="C731" s="69"/>
      <c r="D731" s="69"/>
      <c r="E731" s="69"/>
      <c r="F731" s="69"/>
      <c r="G731" s="56"/>
      <c r="H731" s="57"/>
      <c r="I731" s="68"/>
    </row>
    <row r="732" spans="1:9" x14ac:dyDescent="0.2">
      <c r="A732" s="69"/>
      <c r="B732" s="69"/>
      <c r="C732" s="69"/>
      <c r="D732" s="69"/>
      <c r="E732" s="69"/>
      <c r="F732" s="69"/>
      <c r="G732" s="56"/>
      <c r="H732" s="57"/>
      <c r="I732" s="68"/>
    </row>
    <row r="733" spans="1:9" x14ac:dyDescent="0.2">
      <c r="A733" s="69"/>
      <c r="B733" s="69"/>
      <c r="C733" s="69"/>
      <c r="D733" s="69"/>
      <c r="E733" s="69"/>
      <c r="F733" s="69"/>
      <c r="G733" s="56"/>
      <c r="H733" s="57"/>
      <c r="I733" s="68"/>
    </row>
    <row r="734" spans="1:9" x14ac:dyDescent="0.2">
      <c r="A734" s="69"/>
      <c r="B734" s="69"/>
      <c r="C734" s="69"/>
      <c r="D734" s="69"/>
      <c r="E734" s="69"/>
      <c r="F734" s="69"/>
      <c r="G734" s="56"/>
      <c r="H734" s="57"/>
      <c r="I734" s="68"/>
    </row>
    <row r="735" spans="1:9" x14ac:dyDescent="0.2">
      <c r="A735" s="69"/>
      <c r="B735" s="69"/>
      <c r="C735" s="69"/>
      <c r="D735" s="69"/>
      <c r="E735" s="69"/>
      <c r="F735" s="69"/>
      <c r="G735" s="56"/>
      <c r="H735" s="57"/>
      <c r="I735" s="68"/>
    </row>
    <row r="736" spans="1:9" x14ac:dyDescent="0.2">
      <c r="A736" s="69"/>
      <c r="B736" s="69"/>
      <c r="C736" s="69"/>
      <c r="D736" s="69"/>
      <c r="E736" s="69"/>
      <c r="F736" s="69"/>
      <c r="G736" s="56"/>
      <c r="H736" s="57"/>
      <c r="I736" s="68"/>
    </row>
    <row r="737" spans="1:9" x14ac:dyDescent="0.2">
      <c r="A737" s="69"/>
      <c r="B737" s="69"/>
      <c r="C737" s="69"/>
      <c r="D737" s="69"/>
      <c r="E737" s="69"/>
      <c r="F737" s="69"/>
      <c r="G737" s="56"/>
      <c r="H737" s="57"/>
      <c r="I737" s="68"/>
    </row>
    <row r="738" spans="1:9" x14ac:dyDescent="0.2">
      <c r="A738" s="69"/>
      <c r="B738" s="69"/>
      <c r="C738" s="69"/>
      <c r="D738" s="69"/>
      <c r="E738" s="69"/>
      <c r="F738" s="69"/>
      <c r="G738" s="56"/>
      <c r="H738" s="57"/>
      <c r="I738" s="68"/>
    </row>
    <row r="739" spans="1:9" x14ac:dyDescent="0.2">
      <c r="A739" s="69"/>
      <c r="B739" s="69"/>
      <c r="C739" s="69"/>
      <c r="D739" s="69"/>
      <c r="E739" s="69"/>
      <c r="F739" s="69"/>
      <c r="G739" s="56"/>
      <c r="H739" s="57"/>
      <c r="I739" s="68"/>
    </row>
    <row r="740" spans="1:9" x14ac:dyDescent="0.2">
      <c r="A740" s="69"/>
      <c r="B740" s="69"/>
      <c r="C740" s="69"/>
      <c r="D740" s="69"/>
      <c r="E740" s="69"/>
      <c r="F740" s="69"/>
      <c r="G740" s="56"/>
      <c r="H740" s="57"/>
      <c r="I740" s="68"/>
    </row>
    <row r="741" spans="1:9" x14ac:dyDescent="0.2">
      <c r="A741" s="69"/>
      <c r="B741" s="69"/>
      <c r="C741" s="69"/>
      <c r="D741" s="69"/>
      <c r="E741" s="69"/>
      <c r="F741" s="69"/>
      <c r="G741" s="56"/>
      <c r="H741" s="57"/>
      <c r="I741" s="68"/>
    </row>
    <row r="742" spans="1:9" x14ac:dyDescent="0.2">
      <c r="A742" s="69"/>
      <c r="B742" s="69"/>
      <c r="C742" s="69"/>
      <c r="D742" s="69"/>
      <c r="E742" s="69"/>
      <c r="F742" s="69"/>
      <c r="G742" s="56"/>
      <c r="H742" s="57"/>
      <c r="I742" s="68"/>
    </row>
    <row r="743" spans="1:9" x14ac:dyDescent="0.2">
      <c r="A743" s="69"/>
      <c r="B743" s="69"/>
      <c r="C743" s="69"/>
      <c r="D743" s="69"/>
      <c r="E743" s="69"/>
      <c r="F743" s="69"/>
      <c r="G743" s="56"/>
      <c r="H743" s="57"/>
      <c r="I743" s="68"/>
    </row>
    <row r="744" spans="1:9" x14ac:dyDescent="0.2">
      <c r="A744" s="69"/>
      <c r="B744" s="69"/>
      <c r="C744" s="69"/>
      <c r="D744" s="69"/>
      <c r="E744" s="69"/>
      <c r="F744" s="69"/>
      <c r="G744" s="56"/>
      <c r="H744" s="57"/>
      <c r="I744" s="68"/>
    </row>
    <row r="745" spans="1:9" x14ac:dyDescent="0.2">
      <c r="A745" s="69"/>
      <c r="B745" s="69"/>
      <c r="C745" s="69"/>
      <c r="D745" s="69"/>
      <c r="E745" s="69"/>
      <c r="F745" s="69"/>
      <c r="G745" s="56"/>
      <c r="H745" s="57"/>
      <c r="I745" s="68"/>
    </row>
    <row r="746" spans="1:9" x14ac:dyDescent="0.2">
      <c r="A746" s="69"/>
      <c r="B746" s="69"/>
      <c r="C746" s="69"/>
      <c r="D746" s="69"/>
      <c r="E746" s="69"/>
      <c r="F746" s="69"/>
      <c r="G746" s="56"/>
      <c r="H746" s="57"/>
      <c r="I746" s="68"/>
    </row>
    <row r="747" spans="1:9" x14ac:dyDescent="0.2">
      <c r="A747" s="69"/>
      <c r="B747" s="69"/>
      <c r="C747" s="69"/>
      <c r="D747" s="69"/>
      <c r="E747" s="69"/>
      <c r="F747" s="69"/>
      <c r="G747" s="56"/>
      <c r="H747" s="57"/>
      <c r="I747" s="68"/>
    </row>
    <row r="748" spans="1:9" x14ac:dyDescent="0.2">
      <c r="A748" s="69"/>
      <c r="B748" s="69"/>
      <c r="C748" s="69"/>
      <c r="D748" s="69"/>
      <c r="E748" s="69"/>
      <c r="F748" s="69"/>
      <c r="G748" s="56"/>
      <c r="H748" s="57"/>
      <c r="I748" s="68"/>
    </row>
    <row r="749" spans="1:9" x14ac:dyDescent="0.2">
      <c r="A749" s="69"/>
      <c r="B749" s="69"/>
      <c r="C749" s="69"/>
      <c r="D749" s="69"/>
      <c r="E749" s="69"/>
      <c r="F749" s="69"/>
      <c r="G749" s="56"/>
      <c r="H749" s="57"/>
      <c r="I749" s="68"/>
    </row>
    <row r="750" spans="1:9" x14ac:dyDescent="0.2">
      <c r="A750" s="69"/>
      <c r="B750" s="69"/>
      <c r="C750" s="69"/>
      <c r="D750" s="69"/>
      <c r="E750" s="69"/>
      <c r="F750" s="69"/>
      <c r="G750" s="56"/>
      <c r="H750" s="57"/>
      <c r="I750" s="68"/>
    </row>
    <row r="751" spans="1:9" x14ac:dyDescent="0.2">
      <c r="A751" s="69"/>
      <c r="B751" s="69"/>
      <c r="C751" s="69"/>
      <c r="D751" s="69"/>
      <c r="E751" s="69"/>
      <c r="F751" s="69"/>
      <c r="G751" s="56"/>
      <c r="H751" s="57"/>
      <c r="I751" s="68"/>
    </row>
    <row r="752" spans="1:9" x14ac:dyDescent="0.2">
      <c r="A752" s="69"/>
      <c r="B752" s="69"/>
      <c r="C752" s="69"/>
      <c r="D752" s="69"/>
      <c r="E752" s="69"/>
      <c r="F752" s="69"/>
      <c r="G752" s="56"/>
      <c r="H752" s="57"/>
      <c r="I752" s="68"/>
    </row>
    <row r="753" spans="1:9" x14ac:dyDescent="0.2">
      <c r="A753" s="69"/>
      <c r="B753" s="69"/>
      <c r="C753" s="69"/>
      <c r="D753" s="69"/>
      <c r="E753" s="69"/>
      <c r="F753" s="69"/>
      <c r="G753" s="56"/>
      <c r="H753" s="57"/>
      <c r="I753" s="68"/>
    </row>
    <row r="754" spans="1:9" x14ac:dyDescent="0.2">
      <c r="A754" s="69"/>
      <c r="B754" s="69"/>
      <c r="C754" s="69"/>
      <c r="D754" s="69"/>
      <c r="E754" s="69"/>
      <c r="F754" s="69"/>
      <c r="G754" s="56"/>
      <c r="H754" s="57"/>
      <c r="I754" s="68"/>
    </row>
    <row r="755" spans="1:9" x14ac:dyDescent="0.2">
      <c r="A755" s="69"/>
      <c r="B755" s="69"/>
      <c r="C755" s="69"/>
      <c r="D755" s="69"/>
      <c r="E755" s="69"/>
      <c r="F755" s="69"/>
      <c r="G755" s="56"/>
      <c r="H755" s="57"/>
      <c r="I755" s="68"/>
    </row>
    <row r="756" spans="1:9" x14ac:dyDescent="0.2">
      <c r="A756" s="69"/>
      <c r="B756" s="69"/>
      <c r="C756" s="69"/>
      <c r="D756" s="69"/>
      <c r="E756" s="69"/>
      <c r="F756" s="69"/>
      <c r="G756" s="56"/>
      <c r="H756" s="57"/>
      <c r="I756" s="68"/>
    </row>
    <row r="757" spans="1:9" x14ac:dyDescent="0.2">
      <c r="A757" s="69"/>
      <c r="B757" s="69"/>
      <c r="C757" s="69"/>
      <c r="D757" s="69"/>
      <c r="E757" s="69"/>
      <c r="F757" s="69"/>
      <c r="G757" s="56"/>
      <c r="H757" s="57"/>
      <c r="I757" s="68"/>
    </row>
    <row r="758" spans="1:9" x14ac:dyDescent="0.2">
      <c r="A758" s="69"/>
      <c r="B758" s="69"/>
      <c r="C758" s="69"/>
      <c r="D758" s="69"/>
      <c r="E758" s="69"/>
      <c r="F758" s="69"/>
      <c r="G758" s="56"/>
      <c r="H758" s="57"/>
      <c r="I758" s="68"/>
    </row>
    <row r="759" spans="1:9" x14ac:dyDescent="0.2">
      <c r="A759" s="69"/>
      <c r="B759" s="69"/>
      <c r="C759" s="69"/>
      <c r="D759" s="69"/>
      <c r="E759" s="69"/>
      <c r="F759" s="69"/>
      <c r="G759" s="56"/>
      <c r="H759" s="57"/>
      <c r="I759" s="68"/>
    </row>
    <row r="760" spans="1:9" x14ac:dyDescent="0.2">
      <c r="A760" s="69"/>
      <c r="B760" s="69"/>
      <c r="C760" s="69"/>
      <c r="D760" s="69"/>
      <c r="E760" s="69"/>
      <c r="F760" s="69"/>
      <c r="G760" s="56"/>
      <c r="H760" s="57"/>
      <c r="I760" s="68"/>
    </row>
    <row r="761" spans="1:9" x14ac:dyDescent="0.2">
      <c r="A761" s="69"/>
      <c r="B761" s="69"/>
      <c r="C761" s="69"/>
      <c r="D761" s="69"/>
      <c r="E761" s="69"/>
      <c r="F761" s="69"/>
      <c r="G761" s="56"/>
      <c r="H761" s="57"/>
      <c r="I761" s="68"/>
    </row>
    <row r="762" spans="1:9" x14ac:dyDescent="0.2">
      <c r="A762" s="69"/>
      <c r="B762" s="69"/>
      <c r="C762" s="69"/>
      <c r="D762" s="69"/>
      <c r="E762" s="69"/>
      <c r="F762" s="69"/>
      <c r="G762" s="56"/>
      <c r="H762" s="57"/>
      <c r="I762" s="68"/>
    </row>
    <row r="763" spans="1:9" x14ac:dyDescent="0.2">
      <c r="A763" s="69"/>
      <c r="B763" s="69"/>
      <c r="C763" s="69"/>
      <c r="D763" s="69"/>
      <c r="E763" s="69"/>
      <c r="F763" s="69"/>
      <c r="G763" s="56"/>
      <c r="H763" s="57"/>
      <c r="I763" s="68"/>
    </row>
    <row r="764" spans="1:9" x14ac:dyDescent="0.2">
      <c r="A764" s="69"/>
      <c r="B764" s="69"/>
      <c r="C764" s="69"/>
      <c r="D764" s="69"/>
      <c r="E764" s="69"/>
      <c r="F764" s="69"/>
      <c r="G764" s="56"/>
      <c r="H764" s="57"/>
      <c r="I764" s="68"/>
    </row>
    <row r="765" spans="1:9" x14ac:dyDescent="0.2">
      <c r="A765" s="69"/>
      <c r="B765" s="69"/>
      <c r="C765" s="69"/>
      <c r="D765" s="69"/>
      <c r="E765" s="69"/>
      <c r="F765" s="69"/>
      <c r="G765" s="56"/>
      <c r="H765" s="57"/>
      <c r="I765" s="68"/>
    </row>
    <row r="766" spans="1:9" x14ac:dyDescent="0.2">
      <c r="A766" s="69"/>
      <c r="B766" s="69"/>
      <c r="C766" s="69"/>
      <c r="D766" s="69"/>
      <c r="E766" s="69"/>
      <c r="F766" s="69"/>
      <c r="G766" s="56"/>
      <c r="H766" s="57"/>
      <c r="I766" s="68"/>
    </row>
    <row r="767" spans="1:9" x14ac:dyDescent="0.2">
      <c r="A767" s="69"/>
      <c r="B767" s="69"/>
      <c r="C767" s="69"/>
      <c r="D767" s="69"/>
      <c r="E767" s="69"/>
      <c r="F767" s="69"/>
      <c r="G767" s="56"/>
      <c r="H767" s="57"/>
      <c r="I767" s="68"/>
    </row>
    <row r="768" spans="1:9" x14ac:dyDescent="0.2">
      <c r="A768" s="69"/>
      <c r="B768" s="69"/>
      <c r="C768" s="69"/>
      <c r="D768" s="69"/>
      <c r="E768" s="69"/>
      <c r="F768" s="69"/>
      <c r="G768" s="56"/>
      <c r="H768" s="57"/>
      <c r="I768" s="68"/>
    </row>
    <row r="769" spans="1:9" x14ac:dyDescent="0.2">
      <c r="A769" s="69"/>
      <c r="B769" s="69"/>
      <c r="C769" s="69"/>
      <c r="D769" s="69"/>
      <c r="E769" s="69"/>
      <c r="F769" s="69"/>
      <c r="G769" s="56"/>
      <c r="H769" s="57"/>
      <c r="I769" s="68"/>
    </row>
    <row r="770" spans="1:9" x14ac:dyDescent="0.2">
      <c r="A770" s="69"/>
      <c r="B770" s="69"/>
      <c r="C770" s="69"/>
      <c r="D770" s="69"/>
      <c r="E770" s="69"/>
      <c r="F770" s="69"/>
      <c r="G770" s="56"/>
      <c r="H770" s="57"/>
      <c r="I770" s="68"/>
    </row>
    <row r="771" spans="1:9" x14ac:dyDescent="0.2">
      <c r="A771" s="69"/>
      <c r="B771" s="69"/>
      <c r="C771" s="69"/>
      <c r="D771" s="69"/>
      <c r="E771" s="69"/>
      <c r="F771" s="69"/>
      <c r="G771" s="56"/>
      <c r="H771" s="57"/>
      <c r="I771" s="68"/>
    </row>
    <row r="772" spans="1:9" x14ac:dyDescent="0.2">
      <c r="A772" s="69"/>
      <c r="B772" s="69"/>
      <c r="C772" s="69"/>
      <c r="D772" s="69"/>
      <c r="E772" s="69"/>
      <c r="F772" s="69"/>
      <c r="G772" s="56"/>
      <c r="H772" s="57"/>
      <c r="I772" s="68"/>
    </row>
    <row r="773" spans="1:9" x14ac:dyDescent="0.2">
      <c r="A773" s="69"/>
      <c r="B773" s="69"/>
      <c r="C773" s="69"/>
      <c r="D773" s="69"/>
      <c r="E773" s="69"/>
      <c r="F773" s="69"/>
      <c r="G773" s="56"/>
      <c r="H773" s="57"/>
      <c r="I773" s="68"/>
    </row>
    <row r="774" spans="1:9" x14ac:dyDescent="0.2">
      <c r="A774" s="69"/>
      <c r="B774" s="69"/>
      <c r="C774" s="69"/>
      <c r="D774" s="69"/>
      <c r="E774" s="69"/>
      <c r="F774" s="69"/>
      <c r="G774" s="56"/>
      <c r="H774" s="57"/>
      <c r="I774" s="68"/>
    </row>
    <row r="775" spans="1:9" x14ac:dyDescent="0.2">
      <c r="A775" s="69"/>
      <c r="B775" s="69"/>
      <c r="C775" s="69"/>
      <c r="D775" s="69"/>
      <c r="E775" s="69"/>
      <c r="F775" s="69"/>
      <c r="G775" s="56"/>
      <c r="H775" s="57"/>
      <c r="I775" s="68"/>
    </row>
    <row r="776" spans="1:9" x14ac:dyDescent="0.2">
      <c r="A776" s="69"/>
      <c r="B776" s="69"/>
      <c r="C776" s="69"/>
      <c r="D776" s="69"/>
      <c r="E776" s="69"/>
      <c r="F776" s="69"/>
      <c r="G776" s="56"/>
      <c r="H776" s="57"/>
      <c r="I776" s="68"/>
    </row>
    <row r="777" spans="1:9" x14ac:dyDescent="0.2">
      <c r="A777" s="69"/>
      <c r="B777" s="69"/>
      <c r="C777" s="69"/>
      <c r="D777" s="69"/>
      <c r="E777" s="69"/>
      <c r="F777" s="69"/>
      <c r="G777" s="56"/>
      <c r="H777" s="57"/>
      <c r="I777" s="68"/>
    </row>
    <row r="778" spans="1:9" x14ac:dyDescent="0.2">
      <c r="A778" s="69"/>
      <c r="B778" s="69"/>
      <c r="C778" s="69"/>
      <c r="D778" s="69"/>
      <c r="E778" s="69"/>
      <c r="F778" s="69"/>
      <c r="G778" s="56"/>
      <c r="H778" s="57"/>
      <c r="I778" s="68"/>
    </row>
    <row r="779" spans="1:9" x14ac:dyDescent="0.2">
      <c r="A779" s="69"/>
      <c r="B779" s="69"/>
      <c r="C779" s="69"/>
      <c r="D779" s="69"/>
      <c r="E779" s="69"/>
      <c r="F779" s="69"/>
      <c r="G779" s="56"/>
      <c r="H779" s="57"/>
      <c r="I779" s="68"/>
    </row>
    <row r="780" spans="1:9" x14ac:dyDescent="0.2">
      <c r="A780" s="69"/>
      <c r="B780" s="69"/>
      <c r="C780" s="69"/>
      <c r="D780" s="69"/>
      <c r="E780" s="69"/>
      <c r="F780" s="69"/>
      <c r="G780" s="56"/>
      <c r="H780" s="57"/>
      <c r="I780" s="68"/>
    </row>
    <row r="781" spans="1:9" x14ac:dyDescent="0.2">
      <c r="A781" s="69"/>
      <c r="B781" s="69"/>
      <c r="C781" s="69"/>
      <c r="D781" s="69"/>
      <c r="E781" s="69"/>
      <c r="F781" s="69"/>
      <c r="G781" s="56"/>
      <c r="H781" s="57"/>
      <c r="I781" s="68"/>
    </row>
    <row r="782" spans="1:9" x14ac:dyDescent="0.2">
      <c r="A782" s="69"/>
      <c r="B782" s="69"/>
      <c r="C782" s="69"/>
      <c r="D782" s="69"/>
      <c r="E782" s="69"/>
      <c r="F782" s="69"/>
      <c r="G782" s="56"/>
      <c r="H782" s="57"/>
      <c r="I782" s="68"/>
    </row>
    <row r="783" spans="1:9" x14ac:dyDescent="0.2">
      <c r="A783" s="69"/>
      <c r="B783" s="69"/>
      <c r="C783" s="69"/>
      <c r="D783" s="69"/>
      <c r="E783" s="69"/>
      <c r="F783" s="69"/>
      <c r="G783" s="56"/>
      <c r="H783" s="57"/>
      <c r="I783" s="68"/>
    </row>
    <row r="784" spans="1:9" x14ac:dyDescent="0.2">
      <c r="A784" s="69"/>
      <c r="B784" s="69"/>
      <c r="C784" s="69"/>
      <c r="D784" s="69"/>
      <c r="E784" s="69"/>
      <c r="F784" s="69"/>
      <c r="G784" s="56"/>
      <c r="H784" s="57"/>
      <c r="I784" s="68"/>
    </row>
    <row r="785" spans="1:9" x14ac:dyDescent="0.2">
      <c r="A785" s="69"/>
      <c r="B785" s="69"/>
      <c r="C785" s="69"/>
      <c r="D785" s="69"/>
      <c r="E785" s="69"/>
      <c r="F785" s="69"/>
      <c r="G785" s="56"/>
      <c r="H785" s="57"/>
      <c r="I785" s="68"/>
    </row>
    <row r="786" spans="1:9" x14ac:dyDescent="0.2">
      <c r="A786" s="69"/>
      <c r="B786" s="69"/>
      <c r="C786" s="69"/>
      <c r="D786" s="69"/>
      <c r="E786" s="69"/>
      <c r="F786" s="69"/>
      <c r="G786" s="56"/>
      <c r="H786" s="57"/>
      <c r="I786" s="68"/>
    </row>
    <row r="787" spans="1:9" x14ac:dyDescent="0.2">
      <c r="A787" s="69"/>
      <c r="B787" s="69"/>
      <c r="C787" s="69"/>
      <c r="D787" s="69"/>
      <c r="E787" s="69"/>
      <c r="F787" s="69"/>
      <c r="G787" s="56"/>
      <c r="H787" s="57"/>
      <c r="I787" s="68"/>
    </row>
    <row r="788" spans="1:9" x14ac:dyDescent="0.2">
      <c r="A788" s="69"/>
      <c r="B788" s="69"/>
      <c r="C788" s="69"/>
      <c r="D788" s="69"/>
      <c r="E788" s="69"/>
      <c r="F788" s="69"/>
      <c r="G788" s="56"/>
      <c r="H788" s="57"/>
      <c r="I788" s="68"/>
    </row>
    <row r="789" spans="1:9" x14ac:dyDescent="0.2">
      <c r="A789" s="69"/>
      <c r="B789" s="69"/>
      <c r="C789" s="69"/>
      <c r="D789" s="69"/>
      <c r="E789" s="69"/>
      <c r="F789" s="69"/>
      <c r="G789" s="56"/>
      <c r="H789" s="57"/>
      <c r="I789" s="68"/>
    </row>
    <row r="790" spans="1:9" x14ac:dyDescent="0.2">
      <c r="A790" s="69"/>
      <c r="B790" s="69"/>
      <c r="C790" s="69"/>
      <c r="D790" s="69"/>
      <c r="E790" s="69"/>
      <c r="F790" s="69"/>
      <c r="G790" s="56"/>
      <c r="H790" s="57"/>
      <c r="I790" s="68"/>
    </row>
    <row r="791" spans="1:9" x14ac:dyDescent="0.2">
      <c r="A791" s="69"/>
      <c r="B791" s="69"/>
      <c r="C791" s="69"/>
      <c r="D791" s="69"/>
      <c r="E791" s="69"/>
      <c r="F791" s="69"/>
      <c r="G791" s="56"/>
      <c r="H791" s="57"/>
      <c r="I791" s="68"/>
    </row>
    <row r="792" spans="1:9" x14ac:dyDescent="0.2">
      <c r="A792" s="69"/>
      <c r="B792" s="69"/>
      <c r="C792" s="69"/>
      <c r="D792" s="69"/>
      <c r="E792" s="69"/>
      <c r="F792" s="69"/>
      <c r="G792" s="56"/>
      <c r="H792" s="57"/>
      <c r="I792" s="68"/>
    </row>
    <row r="793" spans="1:9" x14ac:dyDescent="0.2">
      <c r="A793" s="69"/>
      <c r="B793" s="69"/>
      <c r="C793" s="69"/>
      <c r="D793" s="69"/>
      <c r="E793" s="69"/>
      <c r="F793" s="69"/>
      <c r="G793" s="56"/>
      <c r="H793" s="57"/>
      <c r="I793" s="68"/>
    </row>
    <row r="794" spans="1:9" x14ac:dyDescent="0.2">
      <c r="A794" s="69"/>
      <c r="B794" s="69"/>
      <c r="C794" s="69"/>
      <c r="D794" s="69"/>
      <c r="E794" s="69"/>
      <c r="F794" s="69"/>
      <c r="G794" s="56"/>
      <c r="H794" s="57"/>
      <c r="I794" s="68"/>
    </row>
    <row r="795" spans="1:9" x14ac:dyDescent="0.2">
      <c r="A795" s="69"/>
      <c r="B795" s="69"/>
      <c r="C795" s="69"/>
      <c r="D795" s="69"/>
      <c r="E795" s="69"/>
      <c r="F795" s="69"/>
      <c r="G795" s="56"/>
      <c r="H795" s="57"/>
      <c r="I795" s="68"/>
    </row>
    <row r="796" spans="1:9" x14ac:dyDescent="0.2">
      <c r="A796" s="69"/>
      <c r="B796" s="69"/>
      <c r="C796" s="69"/>
      <c r="D796" s="69"/>
      <c r="E796" s="69"/>
      <c r="F796" s="69"/>
      <c r="G796" s="56"/>
      <c r="H796" s="57"/>
      <c r="I796" s="68"/>
    </row>
    <row r="797" spans="1:9" x14ac:dyDescent="0.2">
      <c r="A797" s="69"/>
      <c r="B797" s="69"/>
      <c r="C797" s="69"/>
      <c r="D797" s="69"/>
      <c r="E797" s="69"/>
      <c r="F797" s="69"/>
      <c r="G797" s="56"/>
      <c r="H797" s="57"/>
      <c r="I797" s="68"/>
    </row>
    <row r="798" spans="1:9" x14ac:dyDescent="0.2">
      <c r="A798" s="69"/>
      <c r="B798" s="69"/>
      <c r="C798" s="69"/>
      <c r="D798" s="69"/>
      <c r="E798" s="69"/>
      <c r="F798" s="69"/>
      <c r="G798" s="56"/>
      <c r="H798" s="57"/>
      <c r="I798" s="68"/>
    </row>
    <row r="799" spans="1:9" x14ac:dyDescent="0.2">
      <c r="A799" s="69"/>
      <c r="B799" s="69"/>
      <c r="C799" s="69"/>
      <c r="D799" s="69"/>
      <c r="E799" s="69"/>
      <c r="F799" s="69"/>
      <c r="G799" s="56"/>
      <c r="H799" s="57"/>
      <c r="I799" s="68"/>
    </row>
    <row r="800" spans="1:9" x14ac:dyDescent="0.2">
      <c r="A800" s="69"/>
      <c r="B800" s="69"/>
      <c r="C800" s="69"/>
      <c r="D800" s="69"/>
      <c r="E800" s="69"/>
      <c r="F800" s="69"/>
      <c r="G800" s="56"/>
      <c r="H800" s="57"/>
      <c r="I800" s="68"/>
    </row>
    <row r="801" spans="1:9" x14ac:dyDescent="0.2">
      <c r="A801" s="69"/>
      <c r="B801" s="69"/>
      <c r="C801" s="69"/>
      <c r="D801" s="69"/>
      <c r="E801" s="69"/>
      <c r="F801" s="69"/>
      <c r="G801" s="56"/>
      <c r="H801" s="57"/>
      <c r="I801" s="68"/>
    </row>
    <row r="802" spans="1:9" x14ac:dyDescent="0.2">
      <c r="A802" s="69"/>
      <c r="B802" s="69"/>
      <c r="C802" s="69"/>
      <c r="D802" s="69"/>
      <c r="E802" s="69"/>
      <c r="F802" s="69"/>
      <c r="G802" s="56"/>
      <c r="H802" s="57"/>
      <c r="I802" s="68"/>
    </row>
    <row r="803" spans="1:9" x14ac:dyDescent="0.2">
      <c r="A803" s="69"/>
      <c r="B803" s="69"/>
      <c r="C803" s="69"/>
      <c r="D803" s="69"/>
      <c r="E803" s="69"/>
      <c r="F803" s="69"/>
      <c r="G803" s="56"/>
      <c r="H803" s="57"/>
      <c r="I803" s="68"/>
    </row>
    <row r="804" spans="1:9" x14ac:dyDescent="0.2">
      <c r="A804" s="69"/>
      <c r="B804" s="69"/>
      <c r="C804" s="69"/>
      <c r="D804" s="69"/>
      <c r="E804" s="69"/>
      <c r="F804" s="69"/>
      <c r="G804" s="56"/>
      <c r="H804" s="57"/>
      <c r="I804" s="68"/>
    </row>
    <row r="805" spans="1:9" x14ac:dyDescent="0.2">
      <c r="A805" s="69"/>
      <c r="B805" s="69"/>
      <c r="C805" s="69"/>
      <c r="D805" s="69"/>
      <c r="E805" s="69"/>
      <c r="F805" s="69"/>
      <c r="G805" s="56"/>
      <c r="H805" s="57"/>
      <c r="I805" s="68"/>
    </row>
    <row r="806" spans="1:9" x14ac:dyDescent="0.2">
      <c r="A806" s="69"/>
      <c r="B806" s="69"/>
      <c r="C806" s="69"/>
      <c r="D806" s="69"/>
      <c r="E806" s="69"/>
      <c r="F806" s="69"/>
      <c r="G806" s="56"/>
      <c r="H806" s="57"/>
      <c r="I806" s="68"/>
    </row>
    <row r="807" spans="1:9" x14ac:dyDescent="0.2">
      <c r="A807" s="69"/>
      <c r="B807" s="69"/>
      <c r="C807" s="69"/>
      <c r="D807" s="69"/>
      <c r="E807" s="69"/>
      <c r="F807" s="69"/>
      <c r="G807" s="56"/>
      <c r="H807" s="57"/>
      <c r="I807" s="68"/>
    </row>
    <row r="808" spans="1:9" x14ac:dyDescent="0.2">
      <c r="A808" s="69"/>
      <c r="B808" s="69"/>
      <c r="C808" s="69"/>
      <c r="D808" s="69"/>
      <c r="E808" s="69"/>
      <c r="F808" s="69"/>
      <c r="G808" s="56"/>
      <c r="H808" s="57"/>
      <c r="I808" s="68"/>
    </row>
    <row r="809" spans="1:9" x14ac:dyDescent="0.2">
      <c r="A809" s="69"/>
      <c r="B809" s="69"/>
      <c r="C809" s="69"/>
      <c r="D809" s="69"/>
      <c r="E809" s="69"/>
      <c r="F809" s="69"/>
      <c r="G809" s="56"/>
      <c r="H809" s="57"/>
      <c r="I809" s="68"/>
    </row>
    <row r="810" spans="1:9" x14ac:dyDescent="0.2">
      <c r="A810" s="69"/>
      <c r="B810" s="69"/>
      <c r="C810" s="69"/>
      <c r="D810" s="69"/>
      <c r="E810" s="69"/>
      <c r="F810" s="69"/>
      <c r="G810" s="56"/>
      <c r="H810" s="57"/>
      <c r="I810" s="68"/>
    </row>
    <row r="811" spans="1:9" x14ac:dyDescent="0.2">
      <c r="A811" s="69"/>
      <c r="B811" s="69"/>
      <c r="C811" s="69"/>
      <c r="D811" s="69"/>
      <c r="E811" s="69"/>
      <c r="F811" s="69"/>
      <c r="G811" s="56"/>
      <c r="H811" s="57"/>
      <c r="I811" s="68"/>
    </row>
    <row r="812" spans="1:9" x14ac:dyDescent="0.2">
      <c r="A812" s="69"/>
      <c r="B812" s="69"/>
      <c r="C812" s="69"/>
      <c r="D812" s="69"/>
      <c r="E812" s="69"/>
      <c r="F812" s="69"/>
      <c r="G812" s="56"/>
      <c r="H812" s="57"/>
      <c r="I812" s="68"/>
    </row>
    <row r="813" spans="1:9" x14ac:dyDescent="0.2">
      <c r="A813" s="69"/>
      <c r="B813" s="69"/>
      <c r="C813" s="69"/>
      <c r="D813" s="69"/>
      <c r="E813" s="69"/>
      <c r="F813" s="69"/>
      <c r="G813" s="56"/>
      <c r="H813" s="57"/>
      <c r="I813" s="68"/>
    </row>
    <row r="814" spans="1:9" x14ac:dyDescent="0.2">
      <c r="A814" s="69"/>
      <c r="B814" s="69"/>
      <c r="C814" s="69"/>
      <c r="D814" s="69"/>
      <c r="E814" s="69"/>
      <c r="F814" s="69"/>
      <c r="G814" s="56"/>
      <c r="H814" s="57"/>
      <c r="I814" s="68"/>
    </row>
    <row r="815" spans="1:9" x14ac:dyDescent="0.2">
      <c r="A815" s="69"/>
      <c r="B815" s="69"/>
      <c r="C815" s="69"/>
      <c r="D815" s="69"/>
      <c r="E815" s="69"/>
      <c r="F815" s="69"/>
      <c r="G815" s="56"/>
      <c r="H815" s="57"/>
      <c r="I815" s="68"/>
    </row>
    <row r="816" spans="1:9" x14ac:dyDescent="0.2">
      <c r="A816" s="69"/>
      <c r="B816" s="69"/>
      <c r="C816" s="69"/>
      <c r="D816" s="69"/>
      <c r="E816" s="69"/>
      <c r="F816" s="69"/>
      <c r="G816" s="56"/>
      <c r="H816" s="57"/>
      <c r="I816" s="68"/>
    </row>
    <row r="817" spans="1:9" x14ac:dyDescent="0.2">
      <c r="A817" s="69"/>
      <c r="B817" s="69"/>
      <c r="C817" s="69"/>
      <c r="D817" s="69"/>
      <c r="E817" s="69"/>
      <c r="F817" s="69"/>
      <c r="G817" s="56"/>
      <c r="H817" s="57"/>
      <c r="I817" s="68"/>
    </row>
    <row r="818" spans="1:9" x14ac:dyDescent="0.2">
      <c r="A818" s="69"/>
      <c r="B818" s="69"/>
      <c r="C818" s="69"/>
      <c r="D818" s="69"/>
      <c r="E818" s="69"/>
      <c r="F818" s="69"/>
      <c r="G818" s="56"/>
      <c r="H818" s="57"/>
      <c r="I818" s="68"/>
    </row>
    <row r="819" spans="1:9" x14ac:dyDescent="0.2">
      <c r="A819" s="69"/>
      <c r="B819" s="69"/>
      <c r="C819" s="69"/>
      <c r="D819" s="69"/>
      <c r="E819" s="69"/>
      <c r="F819" s="69"/>
      <c r="G819" s="56"/>
      <c r="H819" s="57"/>
      <c r="I819" s="68"/>
    </row>
    <row r="820" spans="1:9" x14ac:dyDescent="0.2">
      <c r="A820" s="69"/>
      <c r="B820" s="69"/>
      <c r="C820" s="69"/>
      <c r="D820" s="69"/>
      <c r="E820" s="69"/>
      <c r="F820" s="69"/>
      <c r="G820" s="56"/>
      <c r="H820" s="57"/>
      <c r="I820" s="68"/>
    </row>
    <row r="821" spans="1:9" x14ac:dyDescent="0.2">
      <c r="A821" s="69"/>
      <c r="B821" s="69"/>
      <c r="C821" s="69"/>
      <c r="D821" s="69"/>
      <c r="E821" s="69"/>
      <c r="F821" s="69"/>
      <c r="G821" s="56"/>
      <c r="H821" s="57"/>
      <c r="I821" s="68"/>
    </row>
    <row r="822" spans="1:9" x14ac:dyDescent="0.2">
      <c r="A822" s="69"/>
      <c r="B822" s="69"/>
      <c r="C822" s="69"/>
      <c r="D822" s="69"/>
      <c r="E822" s="69"/>
      <c r="F822" s="69"/>
      <c r="G822" s="56"/>
      <c r="H822" s="57"/>
      <c r="I822" s="68"/>
    </row>
    <row r="823" spans="1:9" x14ac:dyDescent="0.2">
      <c r="A823" s="69"/>
      <c r="B823" s="69"/>
      <c r="C823" s="69"/>
      <c r="D823" s="69"/>
      <c r="E823" s="69"/>
      <c r="F823" s="69"/>
      <c r="G823" s="56"/>
      <c r="H823" s="57"/>
      <c r="I823" s="68"/>
    </row>
    <row r="824" spans="1:9" x14ac:dyDescent="0.2">
      <c r="A824" s="69"/>
      <c r="B824" s="69"/>
      <c r="C824" s="69"/>
      <c r="D824" s="69"/>
      <c r="E824" s="69"/>
      <c r="F824" s="69"/>
      <c r="G824" s="56"/>
      <c r="H824" s="57"/>
      <c r="I824" s="68"/>
    </row>
    <row r="825" spans="1:9" x14ac:dyDescent="0.2">
      <c r="A825" s="69"/>
      <c r="B825" s="69"/>
      <c r="C825" s="69"/>
      <c r="D825" s="69"/>
      <c r="E825" s="69"/>
      <c r="F825" s="69"/>
      <c r="G825" s="56"/>
      <c r="H825" s="57"/>
      <c r="I825" s="68"/>
    </row>
    <row r="826" spans="1:9" x14ac:dyDescent="0.2">
      <c r="A826" s="69"/>
      <c r="B826" s="69"/>
      <c r="C826" s="69"/>
      <c r="D826" s="69"/>
      <c r="E826" s="69"/>
      <c r="F826" s="69"/>
      <c r="G826" s="56"/>
      <c r="H826" s="57"/>
      <c r="I826" s="68"/>
    </row>
    <row r="827" spans="1:9" x14ac:dyDescent="0.2">
      <c r="A827" s="69"/>
      <c r="B827" s="69"/>
      <c r="C827" s="69"/>
      <c r="D827" s="69"/>
      <c r="E827" s="69"/>
      <c r="F827" s="69"/>
      <c r="G827" s="56"/>
      <c r="H827" s="57"/>
      <c r="I827" s="68"/>
    </row>
    <row r="828" spans="1:9" x14ac:dyDescent="0.2">
      <c r="A828" s="69"/>
      <c r="B828" s="69"/>
      <c r="C828" s="69"/>
      <c r="D828" s="69"/>
      <c r="E828" s="69"/>
      <c r="F828" s="69"/>
      <c r="G828" s="56"/>
      <c r="H828" s="57"/>
      <c r="I828" s="68"/>
    </row>
    <row r="829" spans="1:9" x14ac:dyDescent="0.2">
      <c r="A829" s="69"/>
      <c r="B829" s="69"/>
      <c r="C829" s="69"/>
      <c r="D829" s="69"/>
      <c r="E829" s="69"/>
      <c r="F829" s="69"/>
      <c r="G829" s="56"/>
      <c r="H829" s="57"/>
      <c r="I829" s="68"/>
    </row>
    <row r="830" spans="1:9" x14ac:dyDescent="0.2">
      <c r="A830" s="69"/>
      <c r="B830" s="69"/>
      <c r="C830" s="69"/>
      <c r="D830" s="69"/>
      <c r="E830" s="69"/>
      <c r="F830" s="69"/>
      <c r="G830" s="56"/>
      <c r="H830" s="57"/>
      <c r="I830" s="68"/>
    </row>
    <row r="831" spans="1:9" x14ac:dyDescent="0.2">
      <c r="A831" s="69"/>
      <c r="B831" s="69"/>
      <c r="C831" s="69"/>
      <c r="D831" s="69"/>
      <c r="E831" s="69"/>
      <c r="F831" s="69"/>
      <c r="G831" s="56"/>
      <c r="H831" s="57"/>
      <c r="I831" s="68"/>
    </row>
    <row r="832" spans="1:9" x14ac:dyDescent="0.2">
      <c r="A832" s="69"/>
      <c r="B832" s="69"/>
      <c r="C832" s="69"/>
      <c r="D832" s="69"/>
      <c r="E832" s="69"/>
      <c r="F832" s="69"/>
      <c r="G832" s="56"/>
      <c r="H832" s="57"/>
      <c r="I832" s="68"/>
    </row>
    <row r="833" spans="1:9" x14ac:dyDescent="0.2">
      <c r="A833" s="69"/>
      <c r="B833" s="69"/>
      <c r="C833" s="69"/>
      <c r="D833" s="69"/>
      <c r="E833" s="69"/>
      <c r="F833" s="69"/>
      <c r="G833" s="56"/>
      <c r="H833" s="57"/>
      <c r="I833" s="68"/>
    </row>
    <row r="834" spans="1:9" x14ac:dyDescent="0.2">
      <c r="A834" s="69"/>
      <c r="B834" s="69"/>
      <c r="C834" s="69"/>
      <c r="D834" s="69"/>
      <c r="E834" s="69"/>
      <c r="F834" s="69"/>
      <c r="G834" s="56"/>
      <c r="H834" s="57"/>
      <c r="I834" s="68"/>
    </row>
    <row r="835" spans="1:9" x14ac:dyDescent="0.2">
      <c r="A835" s="69"/>
      <c r="B835" s="69"/>
      <c r="C835" s="69"/>
      <c r="D835" s="69"/>
      <c r="E835" s="69"/>
      <c r="F835" s="69"/>
      <c r="G835" s="56"/>
      <c r="H835" s="57"/>
      <c r="I835" s="68"/>
    </row>
    <row r="836" spans="1:9" x14ac:dyDescent="0.2">
      <c r="A836" s="69"/>
      <c r="B836" s="69"/>
      <c r="C836" s="69"/>
      <c r="D836" s="69"/>
      <c r="E836" s="69"/>
      <c r="F836" s="69"/>
      <c r="G836" s="56"/>
      <c r="H836" s="57"/>
      <c r="I836" s="68"/>
    </row>
    <row r="837" spans="1:9" x14ac:dyDescent="0.2">
      <c r="A837" s="69"/>
      <c r="B837" s="69"/>
      <c r="C837" s="69"/>
      <c r="D837" s="69"/>
      <c r="E837" s="69"/>
      <c r="F837" s="69"/>
      <c r="G837" s="56"/>
      <c r="H837" s="57"/>
      <c r="I837" s="68"/>
    </row>
    <row r="838" spans="1:9" x14ac:dyDescent="0.2">
      <c r="A838" s="69"/>
      <c r="B838" s="69"/>
      <c r="C838" s="69"/>
      <c r="D838" s="69"/>
      <c r="E838" s="69"/>
      <c r="F838" s="69"/>
      <c r="G838" s="56"/>
      <c r="H838" s="57"/>
      <c r="I838" s="68"/>
    </row>
    <row r="839" spans="1:9" x14ac:dyDescent="0.2">
      <c r="A839" s="69"/>
      <c r="B839" s="69"/>
      <c r="C839" s="69"/>
      <c r="D839" s="69"/>
      <c r="E839" s="69"/>
      <c r="F839" s="69"/>
      <c r="G839" s="56"/>
      <c r="H839" s="57"/>
      <c r="I839" s="68"/>
    </row>
    <row r="840" spans="1:9" x14ac:dyDescent="0.2">
      <c r="A840" s="69"/>
      <c r="B840" s="69"/>
      <c r="C840" s="69"/>
      <c r="D840" s="69"/>
      <c r="E840" s="69"/>
      <c r="F840" s="69"/>
      <c r="G840" s="56"/>
      <c r="H840" s="57"/>
      <c r="I840" s="68"/>
    </row>
    <row r="841" spans="1:9" x14ac:dyDescent="0.2">
      <c r="A841" s="69"/>
      <c r="B841" s="69"/>
      <c r="C841" s="69"/>
      <c r="D841" s="69"/>
      <c r="E841" s="69"/>
      <c r="F841" s="69"/>
      <c r="G841" s="56"/>
      <c r="H841" s="57"/>
      <c r="I841" s="68"/>
    </row>
    <row r="842" spans="1:9" x14ac:dyDescent="0.2">
      <c r="A842" s="69"/>
      <c r="B842" s="69"/>
      <c r="C842" s="69"/>
      <c r="D842" s="69"/>
      <c r="E842" s="69"/>
      <c r="F842" s="69"/>
      <c r="G842" s="56"/>
      <c r="H842" s="57"/>
      <c r="I842" s="68"/>
    </row>
    <row r="843" spans="1:9" x14ac:dyDescent="0.2">
      <c r="A843" s="69"/>
      <c r="B843" s="69"/>
      <c r="C843" s="69"/>
      <c r="D843" s="69"/>
      <c r="E843" s="69"/>
      <c r="F843" s="69"/>
      <c r="G843" s="56"/>
      <c r="H843" s="57"/>
      <c r="I843" s="68"/>
    </row>
    <row r="844" spans="1:9" x14ac:dyDescent="0.2">
      <c r="A844" s="69"/>
      <c r="B844" s="69"/>
      <c r="C844" s="69"/>
      <c r="D844" s="69"/>
      <c r="E844" s="69"/>
      <c r="F844" s="69"/>
      <c r="G844" s="56"/>
      <c r="H844" s="57"/>
      <c r="I844" s="68"/>
    </row>
    <row r="845" spans="1:9" x14ac:dyDescent="0.2">
      <c r="A845" s="69"/>
      <c r="B845" s="69"/>
      <c r="C845" s="69"/>
      <c r="D845" s="69"/>
      <c r="E845" s="69"/>
      <c r="F845" s="69"/>
      <c r="G845" s="56"/>
      <c r="H845" s="57"/>
      <c r="I845" s="68"/>
    </row>
    <row r="846" spans="1:9" x14ac:dyDescent="0.2">
      <c r="A846" s="69"/>
      <c r="B846" s="69"/>
      <c r="C846" s="69"/>
      <c r="D846" s="69"/>
      <c r="E846" s="69"/>
      <c r="F846" s="69"/>
      <c r="G846" s="56"/>
      <c r="H846" s="57"/>
      <c r="I846" s="68"/>
    </row>
    <row r="847" spans="1:9" x14ac:dyDescent="0.2">
      <c r="A847" s="69"/>
      <c r="B847" s="69"/>
      <c r="C847" s="69"/>
      <c r="D847" s="69"/>
      <c r="E847" s="69"/>
      <c r="F847" s="69"/>
      <c r="G847" s="56"/>
      <c r="H847" s="57"/>
      <c r="I847" s="68"/>
    </row>
    <row r="848" spans="1:9" x14ac:dyDescent="0.2">
      <c r="A848" s="69"/>
      <c r="B848" s="69"/>
      <c r="C848" s="69"/>
      <c r="D848" s="69"/>
      <c r="E848" s="69"/>
      <c r="F848" s="69"/>
      <c r="G848" s="56"/>
      <c r="H848" s="57"/>
      <c r="I848" s="68"/>
    </row>
    <row r="849" spans="1:9" x14ac:dyDescent="0.2">
      <c r="A849" s="69"/>
      <c r="B849" s="69"/>
      <c r="C849" s="69"/>
      <c r="D849" s="69"/>
      <c r="E849" s="69"/>
      <c r="F849" s="69"/>
      <c r="G849" s="56"/>
      <c r="H849" s="57"/>
      <c r="I849" s="68"/>
    </row>
    <row r="850" spans="1:9" x14ac:dyDescent="0.2">
      <c r="A850" s="69"/>
      <c r="B850" s="69"/>
      <c r="C850" s="69"/>
      <c r="D850" s="69"/>
      <c r="E850" s="69"/>
      <c r="F850" s="69"/>
      <c r="G850" s="56"/>
      <c r="H850" s="57"/>
      <c r="I850" s="68"/>
    </row>
    <row r="851" spans="1:9" x14ac:dyDescent="0.2">
      <c r="A851" s="69"/>
      <c r="B851" s="69"/>
      <c r="C851" s="69"/>
      <c r="D851" s="69"/>
      <c r="E851" s="69"/>
      <c r="F851" s="69"/>
      <c r="G851" s="56"/>
      <c r="H851" s="57"/>
      <c r="I851" s="68"/>
    </row>
    <row r="852" spans="1:9" x14ac:dyDescent="0.2">
      <c r="A852" s="69"/>
      <c r="B852" s="69"/>
      <c r="C852" s="69"/>
      <c r="D852" s="69"/>
      <c r="E852" s="69"/>
      <c r="F852" s="69"/>
      <c r="G852" s="56"/>
      <c r="H852" s="57"/>
      <c r="I852" s="68"/>
    </row>
    <row r="853" spans="1:9" x14ac:dyDescent="0.2">
      <c r="A853" s="69"/>
      <c r="B853" s="69"/>
      <c r="C853" s="69"/>
      <c r="D853" s="69"/>
      <c r="E853" s="69"/>
      <c r="F853" s="69"/>
      <c r="G853" s="56"/>
      <c r="H853" s="57"/>
      <c r="I853" s="68"/>
    </row>
    <row r="854" spans="1:9" x14ac:dyDescent="0.2">
      <c r="A854" s="69"/>
      <c r="B854" s="69"/>
      <c r="C854" s="69"/>
      <c r="D854" s="69"/>
      <c r="E854" s="69"/>
      <c r="F854" s="69"/>
      <c r="G854" s="56"/>
      <c r="H854" s="57"/>
      <c r="I854" s="68"/>
    </row>
    <row r="855" spans="1:9" x14ac:dyDescent="0.2">
      <c r="A855" s="69"/>
      <c r="B855" s="69"/>
      <c r="C855" s="69"/>
      <c r="D855" s="69"/>
      <c r="E855" s="69"/>
      <c r="F855" s="69"/>
      <c r="G855" s="56"/>
      <c r="H855" s="57"/>
      <c r="I855" s="68"/>
    </row>
    <row r="856" spans="1:9" x14ac:dyDescent="0.2">
      <c r="A856" s="69"/>
      <c r="B856" s="69"/>
      <c r="C856" s="69"/>
      <c r="D856" s="69"/>
      <c r="E856" s="69"/>
      <c r="F856" s="69"/>
      <c r="G856" s="56"/>
      <c r="H856" s="57"/>
      <c r="I856" s="68"/>
    </row>
    <row r="857" spans="1:9" x14ac:dyDescent="0.2">
      <c r="A857" s="69"/>
      <c r="B857" s="69"/>
      <c r="C857" s="69"/>
      <c r="D857" s="69"/>
      <c r="E857" s="69"/>
      <c r="F857" s="69"/>
      <c r="G857" s="56"/>
      <c r="H857" s="57"/>
      <c r="I857" s="68"/>
    </row>
    <row r="858" spans="1:9" x14ac:dyDescent="0.2">
      <c r="A858" s="69"/>
      <c r="B858" s="69"/>
      <c r="C858" s="69"/>
      <c r="D858" s="69"/>
      <c r="E858" s="69"/>
      <c r="F858" s="69"/>
      <c r="G858" s="56"/>
      <c r="H858" s="57"/>
      <c r="I858" s="68"/>
    </row>
    <row r="859" spans="1:9" x14ac:dyDescent="0.2">
      <c r="A859" s="69"/>
      <c r="B859" s="69"/>
      <c r="C859" s="69"/>
      <c r="D859" s="69"/>
      <c r="E859" s="69"/>
      <c r="F859" s="69"/>
      <c r="G859" s="56"/>
      <c r="H859" s="57"/>
      <c r="I859" s="68"/>
    </row>
    <row r="860" spans="1:9" x14ac:dyDescent="0.2">
      <c r="A860" s="69"/>
      <c r="B860" s="69"/>
      <c r="C860" s="69"/>
      <c r="D860" s="69"/>
      <c r="E860" s="69"/>
      <c r="F860" s="69"/>
      <c r="G860" s="56"/>
      <c r="H860" s="57"/>
      <c r="I860" s="68"/>
    </row>
    <row r="861" spans="1:9" x14ac:dyDescent="0.2">
      <c r="A861" s="69"/>
      <c r="B861" s="69"/>
      <c r="C861" s="69"/>
      <c r="D861" s="69"/>
      <c r="E861" s="69"/>
      <c r="F861" s="69"/>
      <c r="G861" s="56"/>
      <c r="H861" s="57"/>
      <c r="I861" s="68"/>
    </row>
    <row r="862" spans="1:9" x14ac:dyDescent="0.2">
      <c r="A862" s="69"/>
      <c r="B862" s="69"/>
      <c r="C862" s="69"/>
      <c r="D862" s="69"/>
      <c r="E862" s="69"/>
      <c r="F862" s="69"/>
      <c r="G862" s="56"/>
      <c r="H862" s="57"/>
      <c r="I862" s="68"/>
    </row>
    <row r="863" spans="1:9" x14ac:dyDescent="0.2">
      <c r="A863" s="69"/>
      <c r="B863" s="69"/>
      <c r="C863" s="69"/>
      <c r="D863" s="69"/>
      <c r="E863" s="69"/>
      <c r="F863" s="69"/>
      <c r="G863" s="56"/>
      <c r="H863" s="57"/>
      <c r="I863" s="68"/>
    </row>
    <row r="864" spans="1:9" x14ac:dyDescent="0.2">
      <c r="A864" s="69"/>
      <c r="B864" s="69"/>
      <c r="C864" s="69"/>
      <c r="D864" s="69"/>
      <c r="E864" s="69"/>
      <c r="F864" s="69"/>
      <c r="G864" s="56"/>
      <c r="H864" s="57"/>
      <c r="I864" s="68"/>
    </row>
    <row r="865" spans="1:9" x14ac:dyDescent="0.2">
      <c r="A865" s="69"/>
      <c r="B865" s="69"/>
      <c r="C865" s="69"/>
      <c r="D865" s="69"/>
      <c r="E865" s="69"/>
      <c r="F865" s="69"/>
      <c r="G865" s="56"/>
      <c r="H865" s="57"/>
      <c r="I865" s="68"/>
    </row>
    <row r="866" spans="1:9" x14ac:dyDescent="0.2">
      <c r="A866" s="69"/>
      <c r="B866" s="69"/>
      <c r="C866" s="69"/>
      <c r="D866" s="69"/>
      <c r="E866" s="69"/>
      <c r="F866" s="69"/>
      <c r="G866" s="56"/>
      <c r="H866" s="57"/>
      <c r="I866" s="68"/>
    </row>
    <row r="867" spans="1:9" x14ac:dyDescent="0.2">
      <c r="A867" s="69"/>
      <c r="B867" s="69"/>
      <c r="C867" s="69"/>
      <c r="D867" s="69"/>
      <c r="E867" s="69"/>
      <c r="F867" s="69"/>
      <c r="G867" s="56"/>
      <c r="H867" s="57"/>
      <c r="I867" s="68"/>
    </row>
    <row r="868" spans="1:9" x14ac:dyDescent="0.2">
      <c r="A868" s="69"/>
      <c r="B868" s="69"/>
      <c r="C868" s="69"/>
      <c r="D868" s="69"/>
      <c r="E868" s="69"/>
      <c r="F868" s="69"/>
      <c r="G868" s="56"/>
      <c r="H868" s="57"/>
      <c r="I868" s="68"/>
    </row>
    <row r="869" spans="1:9" x14ac:dyDescent="0.2">
      <c r="A869" s="69"/>
      <c r="B869" s="69"/>
      <c r="C869" s="69"/>
      <c r="D869" s="69"/>
      <c r="E869" s="69"/>
      <c r="F869" s="69"/>
      <c r="G869" s="56"/>
      <c r="H869" s="57"/>
      <c r="I869" s="68"/>
    </row>
    <row r="870" spans="1:9" x14ac:dyDescent="0.2">
      <c r="A870" s="69"/>
      <c r="B870" s="69"/>
      <c r="C870" s="69"/>
      <c r="D870" s="69"/>
      <c r="E870" s="69"/>
      <c r="F870" s="69"/>
      <c r="G870" s="56"/>
      <c r="H870" s="57"/>
      <c r="I870" s="68"/>
    </row>
    <row r="871" spans="1:9" x14ac:dyDescent="0.2">
      <c r="A871" s="69"/>
      <c r="B871" s="69"/>
      <c r="C871" s="69"/>
      <c r="D871" s="69"/>
      <c r="E871" s="69"/>
      <c r="F871" s="69"/>
      <c r="G871" s="56"/>
      <c r="H871" s="57"/>
      <c r="I871" s="68"/>
    </row>
    <row r="872" spans="1:9" x14ac:dyDescent="0.2">
      <c r="A872" s="69"/>
      <c r="B872" s="69"/>
      <c r="C872" s="69"/>
      <c r="D872" s="69"/>
      <c r="E872" s="69"/>
      <c r="F872" s="69"/>
      <c r="G872" s="56"/>
      <c r="H872" s="57"/>
      <c r="I872" s="68"/>
    </row>
    <row r="873" spans="1:9" x14ac:dyDescent="0.2">
      <c r="A873" s="69"/>
      <c r="B873" s="69"/>
      <c r="C873" s="69"/>
      <c r="D873" s="69"/>
      <c r="E873" s="69"/>
      <c r="F873" s="69"/>
      <c r="G873" s="56"/>
      <c r="H873" s="57"/>
      <c r="I873" s="68"/>
    </row>
    <row r="874" spans="1:9" x14ac:dyDescent="0.2">
      <c r="A874" s="69"/>
      <c r="B874" s="69"/>
      <c r="C874" s="69"/>
      <c r="D874" s="69"/>
      <c r="E874" s="69"/>
      <c r="F874" s="69"/>
      <c r="G874" s="56"/>
      <c r="H874" s="57"/>
      <c r="I874" s="68"/>
    </row>
    <row r="875" spans="1:9" x14ac:dyDescent="0.2">
      <c r="A875" s="69"/>
      <c r="B875" s="69"/>
      <c r="C875" s="69"/>
      <c r="D875" s="69"/>
      <c r="E875" s="69"/>
      <c r="F875" s="69"/>
      <c r="G875" s="56"/>
      <c r="H875" s="57"/>
      <c r="I875" s="68"/>
    </row>
    <row r="876" spans="1:9" x14ac:dyDescent="0.2">
      <c r="A876" s="69"/>
      <c r="B876" s="69"/>
      <c r="C876" s="69"/>
      <c r="D876" s="69"/>
      <c r="E876" s="69"/>
      <c r="F876" s="69"/>
      <c r="G876" s="56"/>
      <c r="H876" s="57"/>
      <c r="I876" s="68"/>
    </row>
    <row r="877" spans="1:9" x14ac:dyDescent="0.2">
      <c r="A877" s="69"/>
      <c r="B877" s="69"/>
      <c r="C877" s="69"/>
      <c r="D877" s="69"/>
      <c r="E877" s="69"/>
      <c r="F877" s="69"/>
      <c r="G877" s="56"/>
      <c r="H877" s="57"/>
      <c r="I877" s="68"/>
    </row>
    <row r="878" spans="1:9" x14ac:dyDescent="0.2">
      <c r="A878" s="69"/>
      <c r="B878" s="69"/>
      <c r="C878" s="69"/>
      <c r="D878" s="69"/>
      <c r="E878" s="69"/>
      <c r="F878" s="69"/>
      <c r="G878" s="56"/>
      <c r="H878" s="57"/>
      <c r="I878" s="68"/>
    </row>
    <row r="879" spans="1:9" x14ac:dyDescent="0.2">
      <c r="A879" s="69"/>
      <c r="B879" s="69"/>
      <c r="C879" s="69"/>
      <c r="D879" s="69"/>
      <c r="E879" s="69"/>
      <c r="F879" s="69"/>
      <c r="G879" s="56"/>
      <c r="H879" s="57"/>
      <c r="I879" s="68"/>
    </row>
    <row r="880" spans="1:9" x14ac:dyDescent="0.2">
      <c r="A880" s="69"/>
      <c r="B880" s="69"/>
      <c r="C880" s="69"/>
      <c r="D880" s="69"/>
      <c r="E880" s="69"/>
      <c r="F880" s="69"/>
      <c r="G880" s="56"/>
      <c r="H880" s="57"/>
      <c r="I880" s="68"/>
    </row>
    <row r="881" spans="1:9" x14ac:dyDescent="0.2">
      <c r="A881" s="69"/>
      <c r="B881" s="69"/>
      <c r="C881" s="69"/>
      <c r="D881" s="69"/>
      <c r="E881" s="69"/>
      <c r="F881" s="69"/>
      <c r="G881" s="56"/>
      <c r="H881" s="57"/>
      <c r="I881" s="68"/>
    </row>
    <row r="882" spans="1:9" x14ac:dyDescent="0.2">
      <c r="A882" s="69"/>
      <c r="B882" s="69"/>
      <c r="C882" s="69"/>
      <c r="D882" s="69"/>
      <c r="E882" s="69"/>
      <c r="F882" s="69"/>
      <c r="G882" s="56"/>
      <c r="H882" s="57"/>
      <c r="I882" s="68"/>
    </row>
    <row r="883" spans="1:9" x14ac:dyDescent="0.2">
      <c r="A883" s="69"/>
      <c r="B883" s="69"/>
      <c r="C883" s="69"/>
      <c r="D883" s="69"/>
      <c r="E883" s="69"/>
      <c r="F883" s="69"/>
      <c r="G883" s="56"/>
      <c r="H883" s="57"/>
      <c r="I883" s="68"/>
    </row>
    <row r="884" spans="1:9" x14ac:dyDescent="0.2">
      <c r="A884" s="69"/>
      <c r="B884" s="69"/>
      <c r="C884" s="69"/>
      <c r="D884" s="69"/>
      <c r="E884" s="69"/>
      <c r="F884" s="69"/>
      <c r="G884" s="56"/>
      <c r="H884" s="57"/>
      <c r="I884" s="68"/>
    </row>
    <row r="885" spans="1:9" x14ac:dyDescent="0.2">
      <c r="A885" s="69"/>
      <c r="B885" s="69"/>
      <c r="C885" s="69"/>
      <c r="D885" s="69"/>
      <c r="E885" s="69"/>
      <c r="F885" s="69"/>
      <c r="G885" s="56"/>
      <c r="H885" s="57"/>
      <c r="I885" s="68"/>
    </row>
    <row r="886" spans="1:9" x14ac:dyDescent="0.2">
      <c r="A886" s="69"/>
      <c r="B886" s="69"/>
      <c r="C886" s="69"/>
      <c r="D886" s="69"/>
      <c r="E886" s="69"/>
      <c r="F886" s="69"/>
      <c r="G886" s="56"/>
      <c r="H886" s="57"/>
      <c r="I886" s="68"/>
    </row>
    <row r="887" spans="1:9" x14ac:dyDescent="0.2">
      <c r="A887" s="69"/>
      <c r="B887" s="69"/>
      <c r="C887" s="69"/>
      <c r="D887" s="69"/>
      <c r="E887" s="69"/>
      <c r="F887" s="69"/>
      <c r="G887" s="56"/>
      <c r="H887" s="57"/>
      <c r="I887" s="68"/>
    </row>
    <row r="888" spans="1:9" x14ac:dyDescent="0.2">
      <c r="A888" s="69"/>
      <c r="B888" s="69"/>
      <c r="C888" s="69"/>
      <c r="D888" s="69"/>
      <c r="E888" s="69"/>
      <c r="F888" s="69"/>
      <c r="G888" s="56"/>
      <c r="H888" s="57"/>
      <c r="I888" s="68"/>
    </row>
    <row r="889" spans="1:9" x14ac:dyDescent="0.2">
      <c r="A889" s="69"/>
      <c r="B889" s="69"/>
      <c r="C889" s="69"/>
      <c r="D889" s="69"/>
      <c r="E889" s="69"/>
      <c r="F889" s="69"/>
      <c r="G889" s="56"/>
      <c r="H889" s="57"/>
      <c r="I889" s="68"/>
    </row>
    <row r="890" spans="1:9" x14ac:dyDescent="0.2">
      <c r="A890" s="69"/>
      <c r="B890" s="69"/>
      <c r="C890" s="69"/>
      <c r="D890" s="69"/>
      <c r="E890" s="69"/>
      <c r="F890" s="69"/>
      <c r="G890" s="56"/>
      <c r="H890" s="57"/>
      <c r="I890" s="68"/>
    </row>
    <row r="891" spans="1:9" x14ac:dyDescent="0.2">
      <c r="A891" s="69"/>
      <c r="B891" s="69"/>
      <c r="C891" s="69"/>
      <c r="D891" s="69"/>
      <c r="E891" s="69"/>
      <c r="F891" s="69"/>
      <c r="G891" s="56"/>
      <c r="H891" s="57"/>
      <c r="I891" s="68"/>
    </row>
    <row r="892" spans="1:9" x14ac:dyDescent="0.2">
      <c r="A892" s="69"/>
      <c r="B892" s="69"/>
      <c r="C892" s="69"/>
      <c r="D892" s="69"/>
      <c r="E892" s="69"/>
      <c r="F892" s="69"/>
      <c r="G892" s="56"/>
      <c r="H892" s="57"/>
      <c r="I892" s="68"/>
    </row>
    <row r="893" spans="1:9" x14ac:dyDescent="0.2">
      <c r="A893" s="69"/>
      <c r="B893" s="69"/>
      <c r="C893" s="69"/>
      <c r="D893" s="69"/>
      <c r="E893" s="69"/>
      <c r="F893" s="69"/>
      <c r="G893" s="56"/>
      <c r="H893" s="57"/>
      <c r="I893" s="68"/>
    </row>
    <row r="894" spans="1:9" x14ac:dyDescent="0.2">
      <c r="A894" s="69"/>
      <c r="B894" s="69"/>
      <c r="C894" s="69"/>
      <c r="D894" s="69"/>
      <c r="E894" s="69"/>
      <c r="F894" s="69"/>
      <c r="G894" s="56"/>
      <c r="H894" s="57"/>
      <c r="I894" s="68"/>
    </row>
    <row r="895" spans="1:9" x14ac:dyDescent="0.2">
      <c r="A895" s="69"/>
      <c r="B895" s="69"/>
      <c r="C895" s="69"/>
      <c r="D895" s="69"/>
      <c r="E895" s="69"/>
      <c r="F895" s="69"/>
      <c r="G895" s="56"/>
      <c r="H895" s="57"/>
      <c r="I895" s="68"/>
    </row>
    <row r="896" spans="1:9" x14ac:dyDescent="0.2">
      <c r="A896" s="69"/>
      <c r="B896" s="69"/>
      <c r="C896" s="69"/>
      <c r="D896" s="69"/>
      <c r="E896" s="69"/>
      <c r="F896" s="69"/>
      <c r="G896" s="56"/>
      <c r="H896" s="57"/>
      <c r="I896" s="68"/>
    </row>
    <row r="897" spans="1:9" x14ac:dyDescent="0.2">
      <c r="A897" s="69"/>
      <c r="B897" s="69"/>
      <c r="C897" s="69"/>
      <c r="D897" s="69"/>
      <c r="E897" s="69"/>
      <c r="F897" s="69"/>
      <c r="G897" s="56"/>
      <c r="H897" s="57"/>
      <c r="I897" s="68"/>
    </row>
    <row r="898" spans="1:9" x14ac:dyDescent="0.2">
      <c r="A898" s="69"/>
      <c r="B898" s="69"/>
      <c r="C898" s="69"/>
      <c r="D898" s="69"/>
      <c r="E898" s="69"/>
      <c r="F898" s="69"/>
      <c r="G898" s="56"/>
      <c r="H898" s="57"/>
      <c r="I898" s="68"/>
    </row>
    <row r="899" spans="1:9" x14ac:dyDescent="0.2">
      <c r="A899" s="69"/>
      <c r="B899" s="69"/>
      <c r="C899" s="69"/>
      <c r="D899" s="69"/>
      <c r="E899" s="69"/>
      <c r="F899" s="69"/>
      <c r="G899" s="56"/>
      <c r="H899" s="57"/>
      <c r="I899" s="68"/>
    </row>
    <row r="900" spans="1:9" x14ac:dyDescent="0.2">
      <c r="A900" s="69"/>
      <c r="B900" s="69"/>
      <c r="C900" s="69"/>
      <c r="D900" s="69"/>
      <c r="E900" s="69"/>
      <c r="F900" s="69"/>
      <c r="G900" s="56"/>
      <c r="H900" s="57"/>
      <c r="I900" s="68"/>
    </row>
    <row r="901" spans="1:9" x14ac:dyDescent="0.2">
      <c r="A901" s="69"/>
      <c r="B901" s="69"/>
      <c r="C901" s="69"/>
      <c r="D901" s="69"/>
      <c r="E901" s="69"/>
      <c r="F901" s="69"/>
      <c r="G901" s="56"/>
      <c r="H901" s="57"/>
      <c r="I901" s="68"/>
    </row>
    <row r="902" spans="1:9" x14ac:dyDescent="0.2">
      <c r="A902" s="69"/>
      <c r="B902" s="69"/>
      <c r="C902" s="69"/>
      <c r="D902" s="69"/>
      <c r="E902" s="69"/>
      <c r="F902" s="69"/>
      <c r="G902" s="56"/>
      <c r="H902" s="57"/>
      <c r="I902" s="68"/>
    </row>
    <row r="903" spans="1:9" x14ac:dyDescent="0.2">
      <c r="A903" s="69"/>
      <c r="B903" s="69"/>
      <c r="C903" s="69"/>
      <c r="D903" s="69"/>
      <c r="E903" s="69"/>
      <c r="F903" s="69"/>
      <c r="G903" s="56"/>
      <c r="H903" s="57"/>
      <c r="I903" s="68"/>
    </row>
    <row r="904" spans="1:9" x14ac:dyDescent="0.2">
      <c r="A904" s="69"/>
      <c r="B904" s="69"/>
      <c r="C904" s="69"/>
      <c r="D904" s="69"/>
      <c r="E904" s="69"/>
      <c r="F904" s="69"/>
      <c r="G904" s="56"/>
      <c r="H904" s="57"/>
      <c r="I904" s="68"/>
    </row>
    <row r="905" spans="1:9" x14ac:dyDescent="0.2">
      <c r="A905" s="69"/>
      <c r="B905" s="69"/>
      <c r="C905" s="69"/>
      <c r="D905" s="69"/>
      <c r="E905" s="69"/>
      <c r="F905" s="69"/>
      <c r="G905" s="56"/>
      <c r="H905" s="57"/>
      <c r="I905" s="68"/>
    </row>
    <row r="906" spans="1:9" x14ac:dyDescent="0.2">
      <c r="A906" s="69"/>
      <c r="B906" s="69"/>
      <c r="C906" s="69"/>
      <c r="D906" s="69"/>
      <c r="E906" s="69"/>
      <c r="F906" s="69"/>
      <c r="G906" s="56"/>
      <c r="H906" s="57"/>
      <c r="I906" s="68"/>
    </row>
    <row r="907" spans="1:9" x14ac:dyDescent="0.2">
      <c r="A907" s="69"/>
      <c r="B907" s="69"/>
      <c r="C907" s="69"/>
      <c r="D907" s="69"/>
      <c r="E907" s="69"/>
      <c r="F907" s="69"/>
      <c r="G907" s="56"/>
      <c r="H907" s="57"/>
      <c r="I907" s="68"/>
    </row>
    <row r="908" spans="1:9" x14ac:dyDescent="0.2">
      <c r="A908" s="69"/>
      <c r="B908" s="69"/>
      <c r="C908" s="69"/>
      <c r="D908" s="69"/>
      <c r="E908" s="69"/>
      <c r="F908" s="69"/>
      <c r="G908" s="56"/>
      <c r="H908" s="57"/>
      <c r="I908" s="68"/>
    </row>
    <row r="909" spans="1:9" x14ac:dyDescent="0.2">
      <c r="A909" s="69"/>
      <c r="B909" s="69"/>
      <c r="C909" s="69"/>
      <c r="D909" s="69"/>
      <c r="E909" s="69"/>
      <c r="F909" s="69"/>
      <c r="G909" s="56"/>
      <c r="H909" s="57"/>
      <c r="I909" s="68"/>
    </row>
    <row r="910" spans="1:9" x14ac:dyDescent="0.2">
      <c r="A910" s="69"/>
      <c r="B910" s="69"/>
      <c r="C910" s="69"/>
      <c r="D910" s="69"/>
      <c r="E910" s="69"/>
      <c r="F910" s="69"/>
      <c r="G910" s="56"/>
      <c r="H910" s="57"/>
      <c r="I910" s="68"/>
    </row>
    <row r="911" spans="1:9" x14ac:dyDescent="0.2">
      <c r="A911" s="69"/>
      <c r="B911" s="69"/>
      <c r="C911" s="69"/>
      <c r="D911" s="69"/>
      <c r="E911" s="69"/>
      <c r="F911" s="69"/>
      <c r="G911" s="56"/>
      <c r="H911" s="57"/>
      <c r="I911" s="68"/>
    </row>
    <row r="912" spans="1:9" x14ac:dyDescent="0.2">
      <c r="A912" s="69"/>
      <c r="B912" s="69"/>
      <c r="C912" s="69"/>
      <c r="D912" s="69"/>
      <c r="E912" s="69"/>
      <c r="F912" s="69"/>
      <c r="G912" s="56"/>
      <c r="H912" s="57"/>
      <c r="I912" s="68"/>
    </row>
    <row r="913" spans="1:9" x14ac:dyDescent="0.2">
      <c r="A913" s="69"/>
      <c r="B913" s="69"/>
      <c r="C913" s="69"/>
      <c r="D913" s="69"/>
      <c r="E913" s="69"/>
      <c r="F913" s="69"/>
      <c r="G913" s="56"/>
      <c r="H913" s="57"/>
      <c r="I913" s="68"/>
    </row>
    <row r="914" spans="1:9" x14ac:dyDescent="0.2">
      <c r="A914" s="69"/>
      <c r="B914" s="69"/>
      <c r="C914" s="69"/>
      <c r="D914" s="69"/>
      <c r="E914" s="69"/>
      <c r="F914" s="69"/>
      <c r="G914" s="56"/>
      <c r="H914" s="57"/>
      <c r="I914" s="68"/>
    </row>
    <row r="915" spans="1:9" x14ac:dyDescent="0.2">
      <c r="A915" s="69"/>
      <c r="B915" s="69"/>
      <c r="C915" s="69"/>
      <c r="D915" s="69"/>
      <c r="E915" s="69"/>
      <c r="F915" s="69"/>
      <c r="G915" s="56"/>
      <c r="H915" s="57"/>
      <c r="I915" s="68"/>
    </row>
    <row r="916" spans="1:9" x14ac:dyDescent="0.2">
      <c r="A916" s="69"/>
      <c r="B916" s="69"/>
      <c r="C916" s="69"/>
      <c r="D916" s="69"/>
      <c r="E916" s="69"/>
      <c r="F916" s="69"/>
      <c r="G916" s="56"/>
      <c r="H916" s="57"/>
      <c r="I916" s="68"/>
    </row>
    <row r="917" spans="1:9" x14ac:dyDescent="0.2">
      <c r="A917" s="69"/>
      <c r="B917" s="69"/>
      <c r="C917" s="69"/>
      <c r="D917" s="69"/>
      <c r="E917" s="69"/>
      <c r="F917" s="69"/>
      <c r="G917" s="56"/>
      <c r="H917" s="57"/>
      <c r="I917" s="68"/>
    </row>
    <row r="918" spans="1:9" x14ac:dyDescent="0.2">
      <c r="A918" s="69"/>
      <c r="B918" s="69"/>
      <c r="C918" s="69"/>
      <c r="D918" s="69"/>
      <c r="E918" s="69"/>
      <c r="F918" s="69"/>
      <c r="G918" s="56"/>
      <c r="H918" s="57"/>
      <c r="I918" s="68"/>
    </row>
    <row r="919" spans="1:9" x14ac:dyDescent="0.2">
      <c r="A919" s="69"/>
      <c r="B919" s="69"/>
      <c r="C919" s="69"/>
      <c r="D919" s="69"/>
      <c r="E919" s="69"/>
      <c r="F919" s="69"/>
      <c r="G919" s="56"/>
      <c r="H919" s="57"/>
      <c r="I919" s="68"/>
    </row>
    <row r="920" spans="1:9" x14ac:dyDescent="0.2">
      <c r="A920" s="69"/>
      <c r="B920" s="69"/>
      <c r="C920" s="69"/>
      <c r="D920" s="69"/>
      <c r="E920" s="69"/>
      <c r="F920" s="69"/>
      <c r="G920" s="56"/>
      <c r="H920" s="57"/>
      <c r="I920" s="68"/>
    </row>
    <row r="921" spans="1:9" x14ac:dyDescent="0.2">
      <c r="A921" s="69"/>
      <c r="B921" s="69"/>
      <c r="C921" s="69"/>
      <c r="D921" s="69"/>
      <c r="E921" s="69"/>
      <c r="F921" s="69"/>
      <c r="G921" s="56"/>
      <c r="H921" s="57"/>
      <c r="I921" s="68"/>
    </row>
    <row r="922" spans="1:9" x14ac:dyDescent="0.2">
      <c r="A922" s="69"/>
      <c r="B922" s="69"/>
      <c r="C922" s="69"/>
      <c r="D922" s="69"/>
      <c r="E922" s="69"/>
      <c r="F922" s="69"/>
      <c r="G922" s="56"/>
      <c r="H922" s="57"/>
      <c r="I922" s="68"/>
    </row>
    <row r="923" spans="1:9" x14ac:dyDescent="0.2">
      <c r="A923" s="69"/>
      <c r="B923" s="69"/>
      <c r="C923" s="69"/>
      <c r="D923" s="69"/>
      <c r="E923" s="69"/>
      <c r="F923" s="69"/>
      <c r="G923" s="56"/>
      <c r="H923" s="57"/>
      <c r="I923" s="68"/>
    </row>
    <row r="924" spans="1:9" x14ac:dyDescent="0.2">
      <c r="A924" s="69"/>
      <c r="B924" s="69"/>
      <c r="C924" s="69"/>
      <c r="D924" s="69"/>
      <c r="E924" s="69"/>
      <c r="F924" s="69"/>
      <c r="G924" s="56"/>
      <c r="H924" s="57"/>
      <c r="I924" s="68"/>
    </row>
    <row r="925" spans="1:9" x14ac:dyDescent="0.2">
      <c r="A925" s="69"/>
      <c r="B925" s="69"/>
      <c r="C925" s="69"/>
      <c r="D925" s="69"/>
      <c r="E925" s="69"/>
      <c r="F925" s="69"/>
      <c r="G925" s="56"/>
      <c r="H925" s="57"/>
      <c r="I925" s="68"/>
    </row>
    <row r="926" spans="1:9" x14ac:dyDescent="0.2">
      <c r="A926" s="69"/>
      <c r="B926" s="69"/>
      <c r="C926" s="69"/>
      <c r="D926" s="69"/>
      <c r="E926" s="69"/>
      <c r="F926" s="69"/>
      <c r="G926" s="56"/>
      <c r="H926" s="57"/>
      <c r="I926" s="68"/>
    </row>
    <row r="927" spans="1:9" x14ac:dyDescent="0.2">
      <c r="A927" s="69"/>
      <c r="B927" s="69"/>
      <c r="C927" s="69"/>
      <c r="D927" s="69"/>
      <c r="E927" s="69"/>
      <c r="F927" s="69"/>
      <c r="G927" s="56"/>
      <c r="H927" s="57"/>
      <c r="I927" s="68"/>
    </row>
    <row r="928" spans="1:9" x14ac:dyDescent="0.2">
      <c r="A928" s="69"/>
      <c r="B928" s="69"/>
      <c r="C928" s="69"/>
      <c r="D928" s="69"/>
      <c r="E928" s="69"/>
      <c r="F928" s="69"/>
      <c r="G928" s="56"/>
      <c r="H928" s="57"/>
      <c r="I928" s="68"/>
    </row>
    <row r="929" spans="1:9" x14ac:dyDescent="0.2">
      <c r="A929" s="69"/>
      <c r="B929" s="69"/>
      <c r="C929" s="69"/>
      <c r="D929" s="69"/>
      <c r="E929" s="69"/>
      <c r="F929" s="69"/>
      <c r="G929" s="56"/>
      <c r="H929" s="57"/>
      <c r="I929" s="68"/>
    </row>
    <row r="930" spans="1:9" x14ac:dyDescent="0.2">
      <c r="A930" s="69"/>
      <c r="B930" s="69"/>
      <c r="C930" s="69"/>
      <c r="D930" s="69"/>
      <c r="E930" s="69"/>
      <c r="F930" s="69"/>
      <c r="G930" s="56"/>
      <c r="H930" s="57"/>
      <c r="I930" s="68"/>
    </row>
    <row r="931" spans="1:9" x14ac:dyDescent="0.2">
      <c r="A931" s="69"/>
      <c r="B931" s="69"/>
      <c r="C931" s="69"/>
      <c r="D931" s="69"/>
      <c r="E931" s="69"/>
      <c r="F931" s="69"/>
      <c r="G931" s="56"/>
      <c r="H931" s="57"/>
      <c r="I931" s="68"/>
    </row>
    <row r="932" spans="1:9" x14ac:dyDescent="0.2">
      <c r="A932" s="69"/>
      <c r="B932" s="69"/>
      <c r="C932" s="69"/>
      <c r="D932" s="69"/>
      <c r="E932" s="69"/>
      <c r="F932" s="69"/>
      <c r="G932" s="56"/>
      <c r="H932" s="57"/>
      <c r="I932" s="68"/>
    </row>
    <row r="933" spans="1:9" x14ac:dyDescent="0.2">
      <c r="A933" s="69"/>
      <c r="B933" s="69"/>
      <c r="C933" s="69"/>
      <c r="D933" s="69"/>
      <c r="E933" s="69"/>
      <c r="F933" s="69"/>
      <c r="G933" s="56"/>
      <c r="H933" s="57"/>
      <c r="I933" s="68"/>
    </row>
    <row r="934" spans="1:9" x14ac:dyDescent="0.2">
      <c r="A934" s="69"/>
      <c r="B934" s="69"/>
      <c r="C934" s="69"/>
      <c r="D934" s="69"/>
      <c r="E934" s="69"/>
      <c r="F934" s="69"/>
      <c r="G934" s="56"/>
      <c r="H934" s="57"/>
      <c r="I934" s="68"/>
    </row>
    <row r="935" spans="1:9" x14ac:dyDescent="0.2">
      <c r="A935" s="69"/>
      <c r="B935" s="69"/>
      <c r="C935" s="69"/>
      <c r="D935" s="69"/>
      <c r="E935" s="69"/>
      <c r="F935" s="69"/>
      <c r="G935" s="56"/>
      <c r="H935" s="57"/>
      <c r="I935" s="68"/>
    </row>
    <row r="936" spans="1:9" x14ac:dyDescent="0.2">
      <c r="A936" s="69"/>
      <c r="B936" s="69"/>
      <c r="C936" s="69"/>
      <c r="D936" s="69"/>
      <c r="E936" s="69"/>
      <c r="F936" s="69"/>
      <c r="G936" s="56"/>
      <c r="H936" s="57"/>
      <c r="I936" s="68"/>
    </row>
    <row r="937" spans="1:9" x14ac:dyDescent="0.2">
      <c r="A937" s="69"/>
      <c r="B937" s="69"/>
      <c r="C937" s="69"/>
      <c r="D937" s="69"/>
      <c r="E937" s="69"/>
      <c r="F937" s="69"/>
      <c r="G937" s="56"/>
      <c r="H937" s="57"/>
      <c r="I937" s="68"/>
    </row>
    <row r="938" spans="1:9" x14ac:dyDescent="0.2">
      <c r="A938" s="69"/>
      <c r="B938" s="69"/>
      <c r="C938" s="69"/>
      <c r="D938" s="69"/>
      <c r="E938" s="69"/>
      <c r="F938" s="69"/>
      <c r="G938" s="56"/>
      <c r="H938" s="57"/>
      <c r="I938" s="68"/>
    </row>
    <row r="939" spans="1:9" x14ac:dyDescent="0.2">
      <c r="A939" s="69"/>
      <c r="B939" s="69"/>
      <c r="C939" s="69"/>
      <c r="D939" s="69"/>
      <c r="E939" s="69"/>
      <c r="F939" s="69"/>
      <c r="G939" s="56"/>
      <c r="H939" s="57"/>
      <c r="I939" s="68"/>
    </row>
    <row r="940" spans="1:9" x14ac:dyDescent="0.2">
      <c r="A940" s="69"/>
      <c r="B940" s="69"/>
      <c r="C940" s="69"/>
      <c r="D940" s="69"/>
      <c r="E940" s="69"/>
      <c r="F940" s="69"/>
      <c r="G940" s="56"/>
      <c r="H940" s="57"/>
      <c r="I940" s="68"/>
    </row>
    <row r="941" spans="1:9" x14ac:dyDescent="0.2">
      <c r="A941" s="69"/>
      <c r="B941" s="69"/>
      <c r="C941" s="69"/>
      <c r="D941" s="69"/>
      <c r="E941" s="69"/>
      <c r="F941" s="69"/>
      <c r="G941" s="56"/>
      <c r="H941" s="57"/>
      <c r="I941" s="68"/>
    </row>
    <row r="942" spans="1:9" x14ac:dyDescent="0.2">
      <c r="A942" s="69"/>
      <c r="B942" s="69"/>
      <c r="C942" s="69"/>
      <c r="D942" s="69"/>
      <c r="E942" s="69"/>
      <c r="F942" s="69"/>
      <c r="G942" s="56"/>
      <c r="H942" s="57"/>
      <c r="I942" s="68"/>
    </row>
    <row r="943" spans="1:9" x14ac:dyDescent="0.2">
      <c r="A943" s="69"/>
      <c r="B943" s="69"/>
      <c r="C943" s="69"/>
      <c r="D943" s="69"/>
      <c r="E943" s="69"/>
      <c r="F943" s="69"/>
      <c r="G943" s="56"/>
      <c r="H943" s="57"/>
      <c r="I943" s="68"/>
    </row>
    <row r="944" spans="1:9" x14ac:dyDescent="0.2">
      <c r="A944" s="69"/>
      <c r="B944" s="69"/>
      <c r="C944" s="69"/>
      <c r="D944" s="69"/>
      <c r="E944" s="69"/>
      <c r="F944" s="69"/>
      <c r="G944" s="56"/>
      <c r="H944" s="57"/>
      <c r="I944" s="68"/>
    </row>
    <row r="945" spans="1:9" x14ac:dyDescent="0.2">
      <c r="A945" s="69"/>
      <c r="B945" s="69"/>
      <c r="C945" s="69"/>
      <c r="D945" s="69"/>
      <c r="E945" s="69"/>
      <c r="F945" s="69"/>
      <c r="G945" s="56"/>
      <c r="H945" s="57"/>
      <c r="I945" s="68"/>
    </row>
    <row r="946" spans="1:9" x14ac:dyDescent="0.2">
      <c r="A946" s="69"/>
      <c r="B946" s="69"/>
      <c r="C946" s="69"/>
      <c r="D946" s="69"/>
      <c r="E946" s="69"/>
      <c r="F946" s="69"/>
      <c r="G946" s="56"/>
      <c r="H946" s="57"/>
      <c r="I946" s="68"/>
    </row>
    <row r="947" spans="1:9" x14ac:dyDescent="0.2">
      <c r="A947" s="69"/>
      <c r="B947" s="69"/>
      <c r="C947" s="69"/>
      <c r="D947" s="69"/>
      <c r="E947" s="69"/>
      <c r="F947" s="69"/>
      <c r="G947" s="56"/>
      <c r="H947" s="57"/>
      <c r="I947" s="68"/>
    </row>
    <row r="948" spans="1:9" x14ac:dyDescent="0.2">
      <c r="A948" s="69"/>
      <c r="B948" s="69"/>
      <c r="C948" s="69"/>
      <c r="D948" s="69"/>
      <c r="E948" s="69"/>
      <c r="F948" s="69"/>
      <c r="G948" s="56"/>
      <c r="H948" s="57"/>
      <c r="I948" s="68"/>
    </row>
    <row r="949" spans="1:9" x14ac:dyDescent="0.2">
      <c r="A949" s="69"/>
      <c r="B949" s="69"/>
      <c r="C949" s="69"/>
      <c r="D949" s="69"/>
      <c r="E949" s="69"/>
      <c r="F949" s="69"/>
      <c r="G949" s="56"/>
      <c r="H949" s="57"/>
      <c r="I949" s="68"/>
    </row>
    <row r="950" spans="1:9" x14ac:dyDescent="0.2">
      <c r="A950" s="69"/>
      <c r="B950" s="69"/>
      <c r="C950" s="69"/>
      <c r="D950" s="69"/>
      <c r="E950" s="69"/>
      <c r="F950" s="69"/>
      <c r="G950" s="56"/>
      <c r="H950" s="57"/>
      <c r="I950" s="68"/>
    </row>
    <row r="951" spans="1:9" x14ac:dyDescent="0.2">
      <c r="A951" s="69"/>
      <c r="B951" s="69"/>
      <c r="C951" s="69"/>
      <c r="D951" s="69"/>
      <c r="E951" s="69"/>
      <c r="F951" s="69"/>
      <c r="G951" s="56"/>
      <c r="H951" s="57"/>
      <c r="I951" s="68"/>
    </row>
    <row r="952" spans="1:9" x14ac:dyDescent="0.2">
      <c r="A952" s="69"/>
      <c r="B952" s="69"/>
      <c r="C952" s="69"/>
      <c r="D952" s="69"/>
      <c r="E952" s="69"/>
      <c r="F952" s="69"/>
      <c r="G952" s="56"/>
      <c r="H952" s="57"/>
      <c r="I952" s="68"/>
    </row>
    <row r="953" spans="1:9" x14ac:dyDescent="0.2">
      <c r="A953" s="69"/>
      <c r="B953" s="69"/>
      <c r="C953" s="69"/>
      <c r="D953" s="69"/>
      <c r="E953" s="69"/>
      <c r="F953" s="69"/>
      <c r="G953" s="56"/>
      <c r="H953" s="57"/>
      <c r="I953" s="68"/>
    </row>
    <row r="954" spans="1:9" x14ac:dyDescent="0.2">
      <c r="A954" s="69"/>
      <c r="B954" s="69"/>
      <c r="C954" s="69"/>
      <c r="D954" s="69"/>
      <c r="E954" s="69"/>
      <c r="F954" s="69"/>
      <c r="G954" s="56"/>
      <c r="H954" s="57"/>
      <c r="I954" s="68"/>
    </row>
    <row r="955" spans="1:9" x14ac:dyDescent="0.2">
      <c r="A955" s="69"/>
      <c r="B955" s="69"/>
      <c r="C955" s="69"/>
      <c r="D955" s="69"/>
      <c r="E955" s="69"/>
      <c r="F955" s="69"/>
      <c r="G955" s="56"/>
      <c r="H955" s="57"/>
      <c r="I955" s="68"/>
    </row>
    <row r="956" spans="1:9" x14ac:dyDescent="0.2">
      <c r="A956" s="69"/>
      <c r="B956" s="69"/>
      <c r="C956" s="69"/>
      <c r="D956" s="69"/>
      <c r="E956" s="69"/>
      <c r="F956" s="69"/>
      <c r="G956" s="56"/>
      <c r="H956" s="57"/>
      <c r="I956" s="68"/>
    </row>
    <row r="957" spans="1:9" x14ac:dyDescent="0.2">
      <c r="A957" s="69"/>
      <c r="B957" s="69"/>
      <c r="C957" s="69"/>
      <c r="D957" s="69"/>
      <c r="E957" s="69"/>
      <c r="F957" s="69"/>
      <c r="G957" s="56"/>
      <c r="H957" s="57"/>
      <c r="I957" s="68"/>
    </row>
    <row r="958" spans="1:9" x14ac:dyDescent="0.2">
      <c r="A958" s="69"/>
      <c r="B958" s="69"/>
      <c r="C958" s="69"/>
      <c r="D958" s="69"/>
      <c r="E958" s="69"/>
      <c r="F958" s="69"/>
      <c r="G958" s="56"/>
      <c r="H958" s="57"/>
      <c r="I958" s="68"/>
    </row>
    <row r="959" spans="1:9" x14ac:dyDescent="0.2">
      <c r="A959" s="69"/>
      <c r="B959" s="69"/>
      <c r="C959" s="69"/>
      <c r="D959" s="69"/>
      <c r="E959" s="69"/>
      <c r="F959" s="69"/>
      <c r="G959" s="56"/>
      <c r="H959" s="57"/>
      <c r="I959" s="68"/>
    </row>
    <row r="960" spans="1:9" x14ac:dyDescent="0.2">
      <c r="A960" s="69"/>
      <c r="B960" s="69"/>
      <c r="C960" s="69"/>
      <c r="D960" s="69"/>
      <c r="E960" s="69"/>
      <c r="F960" s="69"/>
      <c r="G960" s="56"/>
      <c r="H960" s="57"/>
      <c r="I960" s="68"/>
    </row>
    <row r="961" spans="1:9" x14ac:dyDescent="0.2">
      <c r="A961" s="69"/>
      <c r="B961" s="69"/>
      <c r="C961" s="69"/>
      <c r="D961" s="69"/>
      <c r="E961" s="69"/>
      <c r="F961" s="69"/>
      <c r="G961" s="56"/>
      <c r="H961" s="57"/>
      <c r="I961" s="68"/>
    </row>
    <row r="962" spans="1:9" x14ac:dyDescent="0.2">
      <c r="A962" s="69"/>
      <c r="B962" s="69"/>
      <c r="C962" s="69"/>
      <c r="D962" s="69"/>
      <c r="E962" s="69"/>
      <c r="F962" s="69"/>
      <c r="G962" s="56"/>
      <c r="H962" s="57"/>
      <c r="I962" s="68"/>
    </row>
    <row r="963" spans="1:9" x14ac:dyDescent="0.2">
      <c r="A963" s="69"/>
      <c r="B963" s="69"/>
      <c r="C963" s="69"/>
      <c r="D963" s="69"/>
      <c r="E963" s="69"/>
      <c r="F963" s="69"/>
      <c r="G963" s="56"/>
      <c r="H963" s="57"/>
      <c r="I963" s="68"/>
    </row>
    <row r="964" spans="1:9" x14ac:dyDescent="0.2">
      <c r="A964" s="69"/>
      <c r="B964" s="69"/>
      <c r="C964" s="69"/>
      <c r="D964" s="69"/>
      <c r="E964" s="69"/>
      <c r="F964" s="69"/>
      <c r="G964" s="56"/>
      <c r="H964" s="57"/>
      <c r="I964" s="68"/>
    </row>
    <row r="965" spans="1:9" x14ac:dyDescent="0.2">
      <c r="A965" s="69"/>
      <c r="B965" s="69"/>
      <c r="C965" s="69"/>
      <c r="D965" s="69"/>
      <c r="E965" s="69"/>
      <c r="F965" s="69"/>
      <c r="G965" s="56"/>
      <c r="H965" s="57"/>
      <c r="I965" s="68"/>
    </row>
    <row r="966" spans="1:9" x14ac:dyDescent="0.2">
      <c r="A966" s="69"/>
      <c r="B966" s="69"/>
      <c r="C966" s="69"/>
      <c r="D966" s="69"/>
      <c r="E966" s="69"/>
      <c r="F966" s="69"/>
      <c r="G966" s="56"/>
      <c r="H966" s="57"/>
      <c r="I966" s="68"/>
    </row>
    <row r="967" spans="1:9" x14ac:dyDescent="0.2">
      <c r="A967" s="69"/>
      <c r="B967" s="69"/>
      <c r="C967" s="69"/>
      <c r="D967" s="69"/>
      <c r="E967" s="69"/>
      <c r="F967" s="69"/>
      <c r="G967" s="56"/>
      <c r="H967" s="57"/>
      <c r="I967" s="68"/>
    </row>
    <row r="968" spans="1:9" x14ac:dyDescent="0.2">
      <c r="A968" s="69"/>
      <c r="B968" s="69"/>
      <c r="C968" s="69"/>
      <c r="D968" s="69"/>
      <c r="E968" s="69"/>
      <c r="F968" s="69"/>
      <c r="G968" s="56"/>
      <c r="H968" s="57"/>
      <c r="I968" s="68"/>
    </row>
    <row r="969" spans="1:9" x14ac:dyDescent="0.2">
      <c r="A969" s="69"/>
      <c r="B969" s="69"/>
      <c r="C969" s="69"/>
      <c r="D969" s="69"/>
      <c r="E969" s="69"/>
      <c r="F969" s="69"/>
      <c r="G969" s="56"/>
      <c r="H969" s="57"/>
      <c r="I969" s="68"/>
    </row>
    <row r="970" spans="1:9" x14ac:dyDescent="0.2">
      <c r="A970" s="69"/>
      <c r="B970" s="69"/>
      <c r="C970" s="69"/>
      <c r="D970" s="69"/>
      <c r="E970" s="69"/>
      <c r="F970" s="69"/>
      <c r="G970" s="56"/>
      <c r="H970" s="57"/>
      <c r="I970" s="68"/>
    </row>
    <row r="971" spans="1:9" x14ac:dyDescent="0.2">
      <c r="A971" s="69"/>
      <c r="B971" s="69"/>
      <c r="C971" s="69"/>
      <c r="D971" s="69"/>
      <c r="E971" s="69"/>
      <c r="F971" s="69"/>
      <c r="G971" s="56"/>
      <c r="H971" s="57"/>
      <c r="I971" s="68"/>
    </row>
    <row r="972" spans="1:9" x14ac:dyDescent="0.2">
      <c r="A972" s="69"/>
      <c r="B972" s="69"/>
      <c r="C972" s="69"/>
      <c r="D972" s="69"/>
      <c r="E972" s="69"/>
      <c r="F972" s="69"/>
      <c r="G972" s="56"/>
      <c r="H972" s="57"/>
      <c r="I972" s="68"/>
    </row>
    <row r="973" spans="1:9" x14ac:dyDescent="0.2">
      <c r="A973" s="69"/>
      <c r="B973" s="69"/>
      <c r="C973" s="69"/>
      <c r="D973" s="69"/>
      <c r="E973" s="69"/>
      <c r="F973" s="69"/>
      <c r="G973" s="56"/>
      <c r="H973" s="57"/>
      <c r="I973" s="68"/>
    </row>
    <row r="974" spans="1:9" x14ac:dyDescent="0.2">
      <c r="A974" s="69"/>
      <c r="B974" s="69"/>
      <c r="C974" s="69"/>
      <c r="D974" s="69"/>
      <c r="E974" s="69"/>
      <c r="F974" s="69"/>
      <c r="G974" s="56"/>
      <c r="H974" s="57"/>
      <c r="I974" s="68"/>
    </row>
    <row r="975" spans="1:9" x14ac:dyDescent="0.2">
      <c r="A975" s="69"/>
      <c r="B975" s="69"/>
      <c r="C975" s="69"/>
      <c r="D975" s="69"/>
      <c r="E975" s="69"/>
      <c r="F975" s="69"/>
      <c r="G975" s="56"/>
      <c r="H975" s="57"/>
      <c r="I975" s="68"/>
    </row>
    <row r="976" spans="1:9" x14ac:dyDescent="0.2">
      <c r="A976" s="69"/>
      <c r="B976" s="69"/>
      <c r="C976" s="69"/>
      <c r="D976" s="69"/>
      <c r="E976" s="69"/>
      <c r="F976" s="69"/>
      <c r="G976" s="56"/>
      <c r="H976" s="57"/>
      <c r="I976" s="68"/>
    </row>
    <row r="977" spans="1:9" x14ac:dyDescent="0.2">
      <c r="A977" s="69"/>
      <c r="B977" s="69"/>
      <c r="C977" s="69"/>
      <c r="D977" s="69"/>
      <c r="E977" s="69"/>
      <c r="F977" s="69"/>
      <c r="G977" s="56"/>
      <c r="H977" s="57"/>
      <c r="I977" s="68"/>
    </row>
    <row r="978" spans="1:9" x14ac:dyDescent="0.2">
      <c r="A978" s="69"/>
      <c r="B978" s="69"/>
      <c r="C978" s="69"/>
      <c r="D978" s="69"/>
      <c r="E978" s="69"/>
      <c r="F978" s="69"/>
      <c r="G978" s="56"/>
      <c r="H978" s="57"/>
      <c r="I978" s="68"/>
    </row>
    <row r="979" spans="1:9" x14ac:dyDescent="0.2">
      <c r="A979" s="69"/>
      <c r="B979" s="69"/>
      <c r="C979" s="69"/>
      <c r="D979" s="69"/>
      <c r="E979" s="69"/>
      <c r="F979" s="69"/>
      <c r="G979" s="56"/>
      <c r="H979" s="57"/>
      <c r="I979" s="68"/>
    </row>
    <row r="980" spans="1:9" x14ac:dyDescent="0.2">
      <c r="A980" s="69"/>
      <c r="B980" s="69"/>
      <c r="C980" s="69"/>
      <c r="D980" s="69"/>
      <c r="E980" s="69"/>
      <c r="F980" s="69"/>
      <c r="G980" s="56"/>
      <c r="H980" s="57"/>
      <c r="I980" s="68"/>
    </row>
    <row r="981" spans="1:9" x14ac:dyDescent="0.2">
      <c r="A981" s="69"/>
      <c r="B981" s="69"/>
      <c r="C981" s="69"/>
      <c r="D981" s="69"/>
      <c r="E981" s="69"/>
      <c r="F981" s="69"/>
      <c r="G981" s="56"/>
      <c r="H981" s="57"/>
      <c r="I981" s="68"/>
    </row>
    <row r="982" spans="1:9" x14ac:dyDescent="0.2">
      <c r="A982" s="69"/>
      <c r="B982" s="69"/>
      <c r="C982" s="69"/>
      <c r="D982" s="69"/>
      <c r="E982" s="69"/>
      <c r="F982" s="69"/>
      <c r="G982" s="56"/>
      <c r="H982" s="57"/>
      <c r="I982" s="68"/>
    </row>
    <row r="983" spans="1:9" x14ac:dyDescent="0.2">
      <c r="A983" s="69"/>
      <c r="B983" s="69"/>
      <c r="C983" s="69"/>
      <c r="D983" s="69"/>
      <c r="E983" s="69"/>
      <c r="F983" s="69"/>
      <c r="G983" s="56"/>
      <c r="H983" s="57"/>
      <c r="I983" s="68"/>
    </row>
    <row r="984" spans="1:9" x14ac:dyDescent="0.2">
      <c r="A984" s="69"/>
      <c r="B984" s="69"/>
      <c r="C984" s="69"/>
      <c r="D984" s="69"/>
      <c r="E984" s="69"/>
      <c r="F984" s="69"/>
      <c r="G984" s="56"/>
      <c r="H984" s="57"/>
      <c r="I984" s="68"/>
    </row>
    <row r="985" spans="1:9" x14ac:dyDescent="0.2">
      <c r="A985" s="69"/>
      <c r="B985" s="69"/>
      <c r="C985" s="69"/>
      <c r="D985" s="69"/>
      <c r="E985" s="69"/>
      <c r="F985" s="69"/>
      <c r="G985" s="56"/>
      <c r="H985" s="57"/>
      <c r="I985" s="68"/>
    </row>
    <row r="986" spans="1:9" x14ac:dyDescent="0.2">
      <c r="A986" s="69"/>
      <c r="B986" s="69"/>
      <c r="C986" s="69"/>
      <c r="D986" s="69"/>
      <c r="E986" s="69"/>
      <c r="F986" s="69"/>
      <c r="G986" s="56"/>
      <c r="H986" s="57"/>
      <c r="I986" s="68"/>
    </row>
    <row r="987" spans="1:9" x14ac:dyDescent="0.2">
      <c r="A987" s="69"/>
      <c r="B987" s="69"/>
      <c r="C987" s="69"/>
      <c r="D987" s="69"/>
      <c r="E987" s="69"/>
      <c r="F987" s="69"/>
      <c r="G987" s="56"/>
      <c r="H987" s="57"/>
      <c r="I987" s="68"/>
    </row>
    <row r="988" spans="1:9" x14ac:dyDescent="0.2">
      <c r="A988" s="69"/>
      <c r="B988" s="69"/>
      <c r="C988" s="69"/>
      <c r="D988" s="69"/>
      <c r="E988" s="69"/>
      <c r="F988" s="69"/>
      <c r="G988" s="56"/>
      <c r="H988" s="57"/>
      <c r="I988" s="68"/>
    </row>
    <row r="989" spans="1:9" x14ac:dyDescent="0.2">
      <c r="A989" s="69"/>
      <c r="B989" s="69"/>
      <c r="C989" s="69"/>
      <c r="D989" s="69"/>
      <c r="E989" s="69"/>
      <c r="F989" s="69"/>
      <c r="G989" s="56"/>
      <c r="H989" s="57"/>
      <c r="I989" s="68"/>
    </row>
    <row r="990" spans="1:9" x14ac:dyDescent="0.2">
      <c r="A990" s="69"/>
      <c r="B990" s="69"/>
      <c r="C990" s="69"/>
      <c r="D990" s="69"/>
      <c r="E990" s="69"/>
      <c r="F990" s="69"/>
      <c r="G990" s="56"/>
      <c r="H990" s="57"/>
      <c r="I990" s="68"/>
    </row>
    <row r="991" spans="1:9" x14ac:dyDescent="0.2">
      <c r="A991" s="69"/>
      <c r="B991" s="69"/>
      <c r="C991" s="69"/>
      <c r="D991" s="69"/>
      <c r="E991" s="69"/>
      <c r="F991" s="69"/>
      <c r="G991" s="56"/>
      <c r="H991" s="57"/>
      <c r="I991" s="68"/>
    </row>
    <row r="992" spans="1:9" x14ac:dyDescent="0.2">
      <c r="A992" s="69"/>
      <c r="B992" s="69"/>
      <c r="C992" s="69"/>
      <c r="D992" s="69"/>
      <c r="E992" s="69"/>
      <c r="F992" s="69"/>
      <c r="G992" s="56"/>
      <c r="H992" s="57"/>
      <c r="I992" s="68"/>
    </row>
    <row r="993" spans="1:9" x14ac:dyDescent="0.2">
      <c r="A993" s="69"/>
      <c r="B993" s="69"/>
      <c r="C993" s="69"/>
      <c r="D993" s="69"/>
      <c r="E993" s="69"/>
      <c r="F993" s="69"/>
      <c r="G993" s="56"/>
      <c r="H993" s="57"/>
      <c r="I993" s="68"/>
    </row>
    <row r="994" spans="1:9" x14ac:dyDescent="0.2">
      <c r="A994" s="69"/>
      <c r="B994" s="69"/>
      <c r="C994" s="69"/>
      <c r="D994" s="69"/>
      <c r="E994" s="69"/>
      <c r="F994" s="69"/>
      <c r="G994" s="56"/>
      <c r="H994" s="57"/>
      <c r="I994" s="68"/>
    </row>
    <row r="995" spans="1:9" x14ac:dyDescent="0.2">
      <c r="A995" s="69"/>
      <c r="B995" s="69"/>
      <c r="C995" s="69"/>
      <c r="D995" s="69"/>
      <c r="E995" s="69"/>
      <c r="F995" s="69"/>
      <c r="G995" s="56"/>
      <c r="H995" s="57"/>
      <c r="I995" s="68"/>
    </row>
    <row r="996" spans="1:9" x14ac:dyDescent="0.2">
      <c r="A996" s="69"/>
      <c r="B996" s="69"/>
      <c r="C996" s="69"/>
      <c r="D996" s="69"/>
      <c r="E996" s="69"/>
      <c r="F996" s="69"/>
      <c r="G996" s="56"/>
      <c r="H996" s="57"/>
      <c r="I996" s="68"/>
    </row>
    <row r="997" spans="1:9" x14ac:dyDescent="0.2">
      <c r="A997" s="69"/>
      <c r="B997" s="69"/>
      <c r="C997" s="69"/>
      <c r="D997" s="69"/>
      <c r="E997" s="69"/>
      <c r="F997" s="69"/>
      <c r="G997" s="56"/>
      <c r="H997" s="57"/>
      <c r="I997" s="68"/>
    </row>
    <row r="998" spans="1:9" x14ac:dyDescent="0.2">
      <c r="A998" s="69"/>
      <c r="B998" s="69"/>
      <c r="C998" s="69"/>
      <c r="D998" s="69"/>
      <c r="E998" s="69"/>
      <c r="F998" s="69"/>
      <c r="G998" s="56"/>
      <c r="H998" s="57"/>
      <c r="I998" s="68"/>
    </row>
    <row r="999" spans="1:9" x14ac:dyDescent="0.2">
      <c r="A999" s="69"/>
      <c r="B999" s="69"/>
      <c r="C999" s="69"/>
      <c r="D999" s="69"/>
      <c r="E999" s="69"/>
      <c r="F999" s="69"/>
      <c r="G999" s="56"/>
      <c r="H999" s="57"/>
      <c r="I999" s="68"/>
    </row>
    <row r="1000" spans="1:9" x14ac:dyDescent="0.2">
      <c r="A1000" s="69"/>
      <c r="B1000" s="69"/>
      <c r="C1000" s="69"/>
      <c r="D1000" s="69"/>
      <c r="E1000" s="69"/>
      <c r="F1000" s="69"/>
      <c r="G1000" s="56"/>
      <c r="H1000" s="57"/>
      <c r="I1000" s="68"/>
    </row>
    <row r="1001" spans="1:9" x14ac:dyDescent="0.2">
      <c r="A1001" s="69"/>
      <c r="B1001" s="69"/>
      <c r="C1001" s="69"/>
      <c r="D1001" s="69"/>
      <c r="E1001" s="69"/>
      <c r="F1001" s="69"/>
      <c r="G1001" s="56"/>
      <c r="H1001" s="57"/>
      <c r="I1001" s="68"/>
    </row>
    <row r="1002" spans="1:9" x14ac:dyDescent="0.2">
      <c r="A1002" s="69"/>
      <c r="B1002" s="69"/>
      <c r="C1002" s="69"/>
      <c r="D1002" s="69"/>
      <c r="E1002" s="69"/>
      <c r="F1002" s="69"/>
      <c r="G1002" s="56"/>
      <c r="H1002" s="57"/>
      <c r="I1002" s="68"/>
    </row>
    <row r="1003" spans="1:9" x14ac:dyDescent="0.2">
      <c r="A1003" s="69"/>
      <c r="B1003" s="69"/>
      <c r="C1003" s="69"/>
      <c r="D1003" s="69"/>
      <c r="E1003" s="69"/>
      <c r="F1003" s="69"/>
      <c r="G1003" s="56"/>
      <c r="H1003" s="57"/>
      <c r="I1003" s="68"/>
    </row>
    <row r="1004" spans="1:9" x14ac:dyDescent="0.2">
      <c r="A1004" s="56"/>
      <c r="B1004" s="56"/>
      <c r="C1004" s="56"/>
      <c r="D1004" s="56"/>
      <c r="E1004" s="56"/>
      <c r="F1004" s="56"/>
      <c r="G1004" s="56"/>
      <c r="H1004" s="56"/>
      <c r="I1004" s="56"/>
    </row>
    <row r="1005" spans="1:9" x14ac:dyDescent="0.2">
      <c r="A1005" s="56"/>
      <c r="B1005" s="56"/>
      <c r="C1005" s="56"/>
      <c r="D1005" s="56"/>
      <c r="E1005" s="56"/>
      <c r="F1005" s="56"/>
      <c r="G1005" s="56"/>
      <c r="H1005" s="56"/>
      <c r="I1005" s="56"/>
    </row>
    <row r="1006" spans="1:9" x14ac:dyDescent="0.2">
      <c r="A1006" s="56"/>
      <c r="B1006" s="56"/>
      <c r="C1006" s="56"/>
      <c r="D1006" s="56"/>
      <c r="E1006" s="56"/>
      <c r="F1006" s="56"/>
      <c r="G1006" s="56"/>
      <c r="H1006" s="56"/>
      <c r="I1006" s="56"/>
    </row>
    <row r="1007" spans="1:9" x14ac:dyDescent="0.2">
      <c r="A1007" s="56"/>
      <c r="B1007" s="56"/>
      <c r="C1007" s="56"/>
      <c r="D1007" s="56"/>
      <c r="E1007" s="56"/>
      <c r="F1007" s="56"/>
      <c r="G1007" s="56"/>
      <c r="H1007" s="56"/>
      <c r="I1007" s="56"/>
    </row>
    <row r="1008" spans="1:9" x14ac:dyDescent="0.2">
      <c r="A1008" s="56"/>
      <c r="B1008" s="56"/>
      <c r="C1008" s="56"/>
      <c r="D1008" s="56"/>
      <c r="E1008" s="56"/>
      <c r="F1008" s="56"/>
      <c r="G1008" s="56"/>
      <c r="H1008" s="56"/>
      <c r="I1008" s="56"/>
    </row>
    <row r="1009" spans="1:9" x14ac:dyDescent="0.2">
      <c r="A1009" s="56"/>
      <c r="B1009" s="56"/>
      <c r="C1009" s="56"/>
      <c r="D1009" s="56"/>
      <c r="E1009" s="56"/>
      <c r="F1009" s="56"/>
      <c r="G1009" s="56"/>
      <c r="H1009" s="56"/>
      <c r="I1009" s="56"/>
    </row>
    <row r="1010" spans="1:9" x14ac:dyDescent="0.2">
      <c r="A1010" s="56"/>
      <c r="B1010" s="56"/>
      <c r="C1010" s="56"/>
      <c r="D1010" s="56"/>
      <c r="E1010" s="56"/>
      <c r="F1010" s="56"/>
      <c r="G1010" s="56"/>
      <c r="H1010" s="56"/>
      <c r="I1010" s="56"/>
    </row>
    <row r="1011" spans="1:9" x14ac:dyDescent="0.2">
      <c r="A1011" s="56"/>
      <c r="B1011" s="56"/>
      <c r="C1011" s="56"/>
      <c r="D1011" s="56"/>
      <c r="E1011" s="56"/>
      <c r="F1011" s="56"/>
      <c r="G1011" s="56"/>
      <c r="H1011" s="56"/>
      <c r="I1011" s="56"/>
    </row>
    <row r="1012" spans="1:9" x14ac:dyDescent="0.2">
      <c r="A1012" s="56"/>
      <c r="B1012" s="56"/>
      <c r="C1012" s="56"/>
      <c r="D1012" s="56"/>
      <c r="E1012" s="56"/>
      <c r="F1012" s="56"/>
      <c r="G1012" s="56"/>
      <c r="H1012" s="56"/>
      <c r="I1012" s="56"/>
    </row>
    <row r="1013" spans="1:9" x14ac:dyDescent="0.2">
      <c r="A1013" s="56"/>
      <c r="B1013" s="56"/>
      <c r="C1013" s="56"/>
      <c r="D1013" s="56"/>
      <c r="E1013" s="56"/>
      <c r="F1013" s="56"/>
      <c r="G1013" s="56"/>
      <c r="H1013" s="56"/>
      <c r="I1013" s="56"/>
    </row>
    <row r="1014" spans="1:9" x14ac:dyDescent="0.2">
      <c r="A1014" s="56"/>
      <c r="B1014" s="56"/>
      <c r="C1014" s="56"/>
      <c r="D1014" s="56"/>
      <c r="E1014" s="56"/>
      <c r="F1014" s="56"/>
      <c r="G1014" s="56"/>
      <c r="H1014" s="56"/>
      <c r="I1014" s="56"/>
    </row>
    <row r="1015" spans="1:9" x14ac:dyDescent="0.2">
      <c r="A1015" s="56"/>
      <c r="B1015" s="56"/>
      <c r="C1015" s="56"/>
      <c r="D1015" s="56"/>
      <c r="E1015" s="56"/>
      <c r="F1015" s="56"/>
      <c r="G1015" s="56"/>
      <c r="H1015" s="56"/>
      <c r="I1015" s="56"/>
    </row>
    <row r="1016" spans="1:9" x14ac:dyDescent="0.2">
      <c r="A1016" s="56"/>
      <c r="B1016" s="56"/>
      <c r="C1016" s="56"/>
      <c r="D1016" s="56"/>
      <c r="E1016" s="56"/>
      <c r="F1016" s="56"/>
      <c r="G1016" s="56"/>
      <c r="H1016" s="56"/>
      <c r="I1016" s="56"/>
    </row>
    <row r="1017" spans="1:9" x14ac:dyDescent="0.2">
      <c r="A1017" s="56"/>
      <c r="B1017" s="56"/>
      <c r="C1017" s="56"/>
      <c r="D1017" s="56"/>
      <c r="E1017" s="56"/>
      <c r="F1017" s="56"/>
      <c r="G1017" s="56"/>
      <c r="H1017" s="56"/>
      <c r="I1017" s="56"/>
    </row>
    <row r="1018" spans="1:9" x14ac:dyDescent="0.2">
      <c r="A1018" s="56"/>
      <c r="B1018" s="56"/>
      <c r="C1018" s="56"/>
      <c r="D1018" s="56"/>
      <c r="E1018" s="56"/>
      <c r="F1018" s="56"/>
      <c r="G1018" s="56"/>
      <c r="H1018" s="56"/>
      <c r="I1018" s="56"/>
    </row>
    <row r="1019" spans="1:9" x14ac:dyDescent="0.2">
      <c r="A1019" s="56"/>
      <c r="B1019" s="56"/>
      <c r="C1019" s="56"/>
      <c r="D1019" s="56"/>
      <c r="E1019" s="56"/>
      <c r="F1019" s="56"/>
      <c r="G1019" s="56"/>
      <c r="H1019" s="56"/>
      <c r="I1019" s="56"/>
    </row>
    <row r="1020" spans="1:9" x14ac:dyDescent="0.2">
      <c r="A1020" s="56"/>
      <c r="B1020" s="56"/>
      <c r="C1020" s="56"/>
      <c r="D1020" s="56"/>
      <c r="E1020" s="56"/>
      <c r="F1020" s="56"/>
      <c r="G1020" s="56"/>
      <c r="H1020" s="56"/>
      <c r="I1020" s="56"/>
    </row>
    <row r="1021" spans="1:9" x14ac:dyDescent="0.2">
      <c r="A1021" s="56"/>
      <c r="B1021" s="56"/>
      <c r="C1021" s="56"/>
      <c r="D1021" s="56"/>
      <c r="E1021" s="56"/>
      <c r="F1021" s="56"/>
      <c r="G1021" s="56"/>
      <c r="H1021" s="56"/>
      <c r="I1021" s="56"/>
    </row>
    <row r="1022" spans="1:9" x14ac:dyDescent="0.2">
      <c r="A1022" s="56"/>
      <c r="B1022" s="56"/>
      <c r="C1022" s="56"/>
      <c r="D1022" s="56"/>
      <c r="E1022" s="56"/>
      <c r="F1022" s="56"/>
      <c r="G1022" s="56"/>
      <c r="H1022" s="56"/>
      <c r="I1022" s="56"/>
    </row>
    <row r="1023" spans="1:9" x14ac:dyDescent="0.2">
      <c r="A1023" s="56"/>
      <c r="B1023" s="56"/>
      <c r="C1023" s="56"/>
      <c r="D1023" s="56"/>
      <c r="E1023" s="56"/>
      <c r="F1023" s="56"/>
      <c r="G1023" s="56"/>
      <c r="H1023" s="56"/>
      <c r="I1023" s="56"/>
    </row>
    <row r="1024" spans="1:9" x14ac:dyDescent="0.2">
      <c r="A1024" s="56"/>
      <c r="B1024" s="56"/>
      <c r="C1024" s="56"/>
      <c r="D1024" s="56"/>
      <c r="E1024" s="56"/>
      <c r="F1024" s="56"/>
      <c r="G1024" s="56"/>
      <c r="H1024" s="56"/>
      <c r="I1024" s="56"/>
    </row>
    <row r="1025" spans="1:9" x14ac:dyDescent="0.2">
      <c r="A1025" s="56"/>
      <c r="B1025" s="56"/>
      <c r="C1025" s="56"/>
      <c r="D1025" s="56"/>
      <c r="E1025" s="56"/>
      <c r="F1025" s="56"/>
      <c r="G1025" s="56"/>
      <c r="H1025" s="56"/>
      <c r="I1025" s="56"/>
    </row>
    <row r="1026" spans="1:9" x14ac:dyDescent="0.2">
      <c r="H1026" s="67"/>
      <c r="I1026" s="56"/>
    </row>
    <row r="1027" spans="1:9" x14ac:dyDescent="0.2">
      <c r="H1027" s="67"/>
      <c r="I1027" s="56"/>
    </row>
    <row r="1028" spans="1:9" x14ac:dyDescent="0.2">
      <c r="H1028" s="67"/>
      <c r="I1028" s="56"/>
    </row>
    <row r="1029" spans="1:9" x14ac:dyDescent="0.2">
      <c r="H1029" s="67"/>
      <c r="I1029" s="56"/>
    </row>
    <row r="1030" spans="1:9" x14ac:dyDescent="0.2">
      <c r="H1030" s="67"/>
      <c r="I1030" s="56"/>
    </row>
    <row r="1031" spans="1:9" x14ac:dyDescent="0.2">
      <c r="H1031" s="67"/>
      <c r="I1031" s="56"/>
    </row>
    <row r="1032" spans="1:9" x14ac:dyDescent="0.2">
      <c r="H1032" s="67"/>
      <c r="I1032" s="56"/>
    </row>
    <row r="1033" spans="1:9" x14ac:dyDescent="0.2">
      <c r="H1033" s="67"/>
      <c r="I1033" s="56"/>
    </row>
    <row r="1034" spans="1:9" x14ac:dyDescent="0.2">
      <c r="H1034" s="67"/>
      <c r="I1034" s="56"/>
    </row>
    <row r="1035" spans="1:9" x14ac:dyDescent="0.2">
      <c r="H1035" s="67"/>
      <c r="I1035" s="56"/>
    </row>
    <row r="1036" spans="1:9" x14ac:dyDescent="0.2">
      <c r="H1036" s="67"/>
      <c r="I1036" s="56"/>
    </row>
    <row r="1037" spans="1:9" x14ac:dyDescent="0.2">
      <c r="H1037" s="67"/>
      <c r="I1037" s="56"/>
    </row>
    <row r="1038" spans="1:9" x14ac:dyDescent="0.2">
      <c r="H1038" s="67"/>
      <c r="I1038" s="56"/>
    </row>
    <row r="1039" spans="1:9" x14ac:dyDescent="0.2">
      <c r="H1039" s="67"/>
      <c r="I1039" s="56"/>
    </row>
    <row r="1040" spans="1:9" x14ac:dyDescent="0.2">
      <c r="H1040" s="67"/>
      <c r="I1040" s="56"/>
    </row>
    <row r="1041" spans="8:9" x14ac:dyDescent="0.2">
      <c r="H1041" s="67"/>
      <c r="I1041" s="56"/>
    </row>
    <row r="1042" spans="8:9" x14ac:dyDescent="0.2">
      <c r="H1042" s="67"/>
      <c r="I1042" s="56"/>
    </row>
    <row r="1043" spans="8:9" x14ac:dyDescent="0.2">
      <c r="H1043" s="67"/>
      <c r="I1043" s="56"/>
    </row>
    <row r="1044" spans="8:9" x14ac:dyDescent="0.2">
      <c r="H1044" s="67"/>
      <c r="I1044" s="56"/>
    </row>
    <row r="1045" spans="8:9" x14ac:dyDescent="0.2">
      <c r="H1045" s="67"/>
      <c r="I1045" s="56"/>
    </row>
    <row r="1046" spans="8:9" x14ac:dyDescent="0.2">
      <c r="H1046" s="67"/>
      <c r="I1046" s="56"/>
    </row>
    <row r="1047" spans="8:9" x14ac:dyDescent="0.2">
      <c r="H1047" s="67"/>
      <c r="I1047" s="56"/>
    </row>
    <row r="1048" spans="8:9" x14ac:dyDescent="0.2">
      <c r="H1048" s="67"/>
      <c r="I1048" s="56"/>
    </row>
    <row r="1049" spans="8:9" x14ac:dyDescent="0.2">
      <c r="H1049" s="67"/>
      <c r="I1049" s="56"/>
    </row>
    <row r="1050" spans="8:9" x14ac:dyDescent="0.2">
      <c r="H1050" s="67"/>
      <c r="I1050" s="56"/>
    </row>
    <row r="1051" spans="8:9" x14ac:dyDescent="0.2">
      <c r="H1051" s="67"/>
      <c r="I1051" s="56"/>
    </row>
    <row r="1052" spans="8:9" x14ac:dyDescent="0.2">
      <c r="H1052" s="67"/>
      <c r="I1052" s="56"/>
    </row>
    <row r="1053" spans="8:9" x14ac:dyDescent="0.2">
      <c r="H1053" s="67"/>
      <c r="I1053" s="56"/>
    </row>
    <row r="1054" spans="8:9" x14ac:dyDescent="0.2">
      <c r="H1054" s="67"/>
      <c r="I1054" s="56"/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2:EO126"/>
  <sheetViews>
    <sheetView zoomScale="80" zoomScaleNormal="80" workbookViewId="0">
      <pane xSplit="6" ySplit="4" topLeftCell="DG5" activePane="bottomRight" state="frozen"/>
      <selection pane="topRight" activeCell="G1" sqref="G1"/>
      <selection pane="bottomLeft" activeCell="A5" sqref="A5"/>
      <selection pane="bottomRight" activeCell="DO10" sqref="DO10"/>
    </sheetView>
  </sheetViews>
  <sheetFormatPr baseColWidth="10" defaultRowHeight="15" x14ac:dyDescent="0.25"/>
  <cols>
    <col min="1" max="1" width="11.42578125" style="16" customWidth="1"/>
    <col min="2" max="2" width="10.7109375" style="16" customWidth="1"/>
    <col min="3" max="3" width="25.7109375" style="16" customWidth="1"/>
    <col min="4" max="5" width="10.7109375" style="16" customWidth="1"/>
    <col min="6" max="6" width="1.7109375" style="16" customWidth="1"/>
    <col min="7" max="116" width="11.42578125" style="16" customWidth="1"/>
    <col min="117" max="117" width="12.85546875" style="16" customWidth="1"/>
    <col min="118" max="333" width="11.42578125" style="16" customWidth="1"/>
    <col min="334" max="16384" width="11.42578125" style="16"/>
  </cols>
  <sheetData>
    <row r="2" spans="1:145" s="10" customFormat="1" x14ac:dyDescent="0.2">
      <c r="G2" s="11">
        <f t="shared" ref="G2:AL2" si="0">IF(G$8="","",G$8)</f>
        <v>39448</v>
      </c>
      <c r="H2" s="11">
        <f t="shared" si="0"/>
        <v>39479</v>
      </c>
      <c r="I2" s="11">
        <f t="shared" si="0"/>
        <v>39508</v>
      </c>
      <c r="J2" s="11">
        <f t="shared" si="0"/>
        <v>39539</v>
      </c>
      <c r="K2" s="11">
        <f t="shared" si="0"/>
        <v>39569</v>
      </c>
      <c r="L2" s="11">
        <f t="shared" si="0"/>
        <v>39600</v>
      </c>
      <c r="M2" s="11">
        <f t="shared" si="0"/>
        <v>39630</v>
      </c>
      <c r="N2" s="11">
        <f t="shared" si="0"/>
        <v>39661</v>
      </c>
      <c r="O2" s="11">
        <f t="shared" si="0"/>
        <v>39692</v>
      </c>
      <c r="P2" s="11">
        <f t="shared" si="0"/>
        <v>39722</v>
      </c>
      <c r="Q2" s="11">
        <f t="shared" si="0"/>
        <v>39753</v>
      </c>
      <c r="R2" s="11">
        <f t="shared" si="0"/>
        <v>39783</v>
      </c>
      <c r="S2" s="11">
        <f t="shared" si="0"/>
        <v>39814</v>
      </c>
      <c r="T2" s="11">
        <f t="shared" si="0"/>
        <v>39845</v>
      </c>
      <c r="U2" s="11">
        <f t="shared" si="0"/>
        <v>39873</v>
      </c>
      <c r="V2" s="11">
        <f t="shared" si="0"/>
        <v>39904</v>
      </c>
      <c r="W2" s="11">
        <f t="shared" si="0"/>
        <v>39934</v>
      </c>
      <c r="X2" s="11">
        <f t="shared" si="0"/>
        <v>39965</v>
      </c>
      <c r="Y2" s="11">
        <f t="shared" si="0"/>
        <v>39995</v>
      </c>
      <c r="Z2" s="11">
        <f t="shared" si="0"/>
        <v>40026</v>
      </c>
      <c r="AA2" s="11">
        <f t="shared" si="0"/>
        <v>40057</v>
      </c>
      <c r="AB2" s="11">
        <f t="shared" si="0"/>
        <v>40087</v>
      </c>
      <c r="AC2" s="11">
        <f t="shared" si="0"/>
        <v>40118</v>
      </c>
      <c r="AD2" s="11">
        <f t="shared" si="0"/>
        <v>40148</v>
      </c>
      <c r="AE2" s="11">
        <f t="shared" si="0"/>
        <v>40179</v>
      </c>
      <c r="AF2" s="11">
        <f t="shared" si="0"/>
        <v>40210</v>
      </c>
      <c r="AG2" s="11">
        <f t="shared" si="0"/>
        <v>40238</v>
      </c>
      <c r="AH2" s="11">
        <f t="shared" si="0"/>
        <v>40269</v>
      </c>
      <c r="AI2" s="11">
        <f t="shared" si="0"/>
        <v>40299</v>
      </c>
      <c r="AJ2" s="11">
        <f t="shared" si="0"/>
        <v>40330</v>
      </c>
      <c r="AK2" s="11">
        <f t="shared" si="0"/>
        <v>40360</v>
      </c>
      <c r="AL2" s="11">
        <f t="shared" si="0"/>
        <v>40391</v>
      </c>
      <c r="AM2" s="11">
        <f t="shared" ref="AM2:BR2" si="1">IF(AM$8="","",AM$8)</f>
        <v>40422</v>
      </c>
      <c r="AN2" s="11">
        <f t="shared" si="1"/>
        <v>40452</v>
      </c>
      <c r="AO2" s="11">
        <f t="shared" si="1"/>
        <v>40483</v>
      </c>
      <c r="AP2" s="11">
        <f t="shared" si="1"/>
        <v>40513</v>
      </c>
      <c r="AQ2" s="11">
        <f t="shared" si="1"/>
        <v>40544</v>
      </c>
      <c r="AR2" s="11">
        <f t="shared" si="1"/>
        <v>40575</v>
      </c>
      <c r="AS2" s="11">
        <f t="shared" si="1"/>
        <v>40603</v>
      </c>
      <c r="AT2" s="11">
        <f t="shared" si="1"/>
        <v>40634</v>
      </c>
      <c r="AU2" s="11">
        <f t="shared" si="1"/>
        <v>40664</v>
      </c>
      <c r="AV2" s="11">
        <f t="shared" si="1"/>
        <v>40695</v>
      </c>
      <c r="AW2" s="11">
        <f t="shared" si="1"/>
        <v>40725</v>
      </c>
      <c r="AX2" s="11">
        <f t="shared" si="1"/>
        <v>40756</v>
      </c>
      <c r="AY2" s="11">
        <f t="shared" si="1"/>
        <v>40787</v>
      </c>
      <c r="AZ2" s="11">
        <f t="shared" si="1"/>
        <v>40817</v>
      </c>
      <c r="BA2" s="11">
        <f t="shared" si="1"/>
        <v>40848</v>
      </c>
      <c r="BB2" s="11">
        <f t="shared" si="1"/>
        <v>40878</v>
      </c>
      <c r="BC2" s="11">
        <f t="shared" si="1"/>
        <v>40909</v>
      </c>
      <c r="BD2" s="11">
        <f t="shared" si="1"/>
        <v>40940</v>
      </c>
      <c r="BE2" s="11">
        <f t="shared" si="1"/>
        <v>40969</v>
      </c>
      <c r="BF2" s="11">
        <f t="shared" si="1"/>
        <v>41000</v>
      </c>
      <c r="BG2" s="11">
        <f t="shared" si="1"/>
        <v>41030</v>
      </c>
      <c r="BH2" s="11">
        <f t="shared" si="1"/>
        <v>41061</v>
      </c>
      <c r="BI2" s="11">
        <f t="shared" si="1"/>
        <v>41091</v>
      </c>
      <c r="BJ2" s="11">
        <f t="shared" si="1"/>
        <v>41122</v>
      </c>
      <c r="BK2" s="11">
        <f t="shared" si="1"/>
        <v>41153</v>
      </c>
      <c r="BL2" s="11">
        <f t="shared" si="1"/>
        <v>41183</v>
      </c>
      <c r="BM2" s="11">
        <f t="shared" si="1"/>
        <v>41214</v>
      </c>
      <c r="BN2" s="11">
        <f t="shared" si="1"/>
        <v>41244</v>
      </c>
      <c r="BO2" s="11">
        <f t="shared" si="1"/>
        <v>41275</v>
      </c>
      <c r="BP2" s="11">
        <f t="shared" si="1"/>
        <v>41306</v>
      </c>
      <c r="BQ2" s="11">
        <f t="shared" si="1"/>
        <v>41334</v>
      </c>
      <c r="BR2" s="11">
        <f t="shared" si="1"/>
        <v>41365</v>
      </c>
      <c r="BS2" s="11">
        <f t="shared" ref="BS2:CX2" si="2">IF(BS$8="","",BS$8)</f>
        <v>41395</v>
      </c>
      <c r="BT2" s="11">
        <f t="shared" si="2"/>
        <v>41426</v>
      </c>
      <c r="BU2" s="11">
        <f t="shared" si="2"/>
        <v>41456</v>
      </c>
      <c r="BV2" s="11">
        <f t="shared" si="2"/>
        <v>41487</v>
      </c>
      <c r="BW2" s="11">
        <f t="shared" si="2"/>
        <v>41518</v>
      </c>
      <c r="BX2" s="11">
        <f t="shared" si="2"/>
        <v>41548</v>
      </c>
      <c r="BY2" s="11">
        <f t="shared" si="2"/>
        <v>41579</v>
      </c>
      <c r="BZ2" s="11">
        <f t="shared" si="2"/>
        <v>41609</v>
      </c>
      <c r="CA2" s="11">
        <f t="shared" si="2"/>
        <v>41640</v>
      </c>
      <c r="CB2" s="11">
        <f t="shared" si="2"/>
        <v>41671</v>
      </c>
      <c r="CC2" s="11">
        <f t="shared" si="2"/>
        <v>41699</v>
      </c>
      <c r="CD2" s="11">
        <f t="shared" si="2"/>
        <v>41730</v>
      </c>
      <c r="CE2" s="11">
        <f t="shared" si="2"/>
        <v>41760</v>
      </c>
      <c r="CF2" s="11">
        <f t="shared" si="2"/>
        <v>41791</v>
      </c>
      <c r="CG2" s="11">
        <f t="shared" si="2"/>
        <v>41821</v>
      </c>
      <c r="CH2" s="11">
        <f t="shared" si="2"/>
        <v>41852</v>
      </c>
      <c r="CI2" s="11">
        <f t="shared" si="2"/>
        <v>41883</v>
      </c>
      <c r="CJ2" s="11">
        <f t="shared" si="2"/>
        <v>41913</v>
      </c>
      <c r="CK2" s="11">
        <f t="shared" si="2"/>
        <v>41944</v>
      </c>
      <c r="CL2" s="11">
        <f t="shared" si="2"/>
        <v>41974</v>
      </c>
      <c r="CM2" s="11">
        <f t="shared" si="2"/>
        <v>42005</v>
      </c>
      <c r="CN2" s="11">
        <f t="shared" si="2"/>
        <v>42036</v>
      </c>
      <c r="CO2" s="11">
        <f t="shared" si="2"/>
        <v>42064</v>
      </c>
      <c r="CP2" s="11">
        <f t="shared" si="2"/>
        <v>42095</v>
      </c>
      <c r="CQ2" s="11">
        <f t="shared" si="2"/>
        <v>42125</v>
      </c>
      <c r="CR2" s="11">
        <f t="shared" si="2"/>
        <v>42156</v>
      </c>
      <c r="CS2" s="11">
        <f t="shared" si="2"/>
        <v>42186</v>
      </c>
      <c r="CT2" s="11">
        <f t="shared" si="2"/>
        <v>42217</v>
      </c>
      <c r="CU2" s="11">
        <f t="shared" si="2"/>
        <v>42248</v>
      </c>
      <c r="CV2" s="11">
        <f t="shared" si="2"/>
        <v>42278</v>
      </c>
      <c r="CW2" s="11">
        <f t="shared" si="2"/>
        <v>42309</v>
      </c>
      <c r="CX2" s="11">
        <f t="shared" si="2"/>
        <v>42339</v>
      </c>
      <c r="CY2" s="11">
        <f t="shared" ref="CY2:ED2" si="3">IF(CY$8="","",CY$8)</f>
        <v>42370</v>
      </c>
      <c r="CZ2" s="11">
        <f t="shared" si="3"/>
        <v>42401</v>
      </c>
      <c r="DA2" s="11">
        <f t="shared" si="3"/>
        <v>42430</v>
      </c>
      <c r="DB2" s="11">
        <f t="shared" si="3"/>
        <v>42461</v>
      </c>
      <c r="DC2" s="11">
        <f t="shared" si="3"/>
        <v>42491</v>
      </c>
      <c r="DD2" s="11">
        <f t="shared" si="3"/>
        <v>42522</v>
      </c>
      <c r="DE2" s="11">
        <f t="shared" si="3"/>
        <v>42552</v>
      </c>
      <c r="DF2" s="11">
        <f t="shared" si="3"/>
        <v>42583</v>
      </c>
      <c r="DG2" s="11">
        <f t="shared" si="3"/>
        <v>42614</v>
      </c>
      <c r="DH2" s="11">
        <f t="shared" si="3"/>
        <v>42644</v>
      </c>
      <c r="DI2" s="11">
        <f t="shared" si="3"/>
        <v>42675</v>
      </c>
      <c r="DJ2" s="11">
        <f t="shared" si="3"/>
        <v>42705</v>
      </c>
      <c r="DK2" s="11">
        <f t="shared" si="3"/>
        <v>42736</v>
      </c>
      <c r="DL2" s="11">
        <f t="shared" si="3"/>
        <v>42767</v>
      </c>
      <c r="DM2" s="11">
        <f t="shared" si="3"/>
        <v>42795</v>
      </c>
      <c r="DN2" s="11">
        <f t="shared" si="3"/>
        <v>42826</v>
      </c>
      <c r="DO2" s="11">
        <f t="shared" si="3"/>
        <v>42856</v>
      </c>
      <c r="DP2" s="11" t="str">
        <f t="shared" si="3"/>
        <v/>
      </c>
      <c r="DQ2" s="11" t="str">
        <f t="shared" si="3"/>
        <v/>
      </c>
      <c r="DR2" s="11" t="str">
        <f t="shared" si="3"/>
        <v/>
      </c>
      <c r="DS2" s="11" t="str">
        <f t="shared" si="3"/>
        <v/>
      </c>
      <c r="DT2" s="11" t="str">
        <f t="shared" si="3"/>
        <v/>
      </c>
      <c r="DU2" s="11" t="str">
        <f t="shared" si="3"/>
        <v/>
      </c>
      <c r="DV2" s="11" t="str">
        <f t="shared" si="3"/>
        <v/>
      </c>
      <c r="DW2" s="11" t="str">
        <f t="shared" si="3"/>
        <v/>
      </c>
      <c r="DX2" s="11" t="str">
        <f t="shared" si="3"/>
        <v/>
      </c>
      <c r="DY2" s="11" t="str">
        <f t="shared" si="3"/>
        <v/>
      </c>
      <c r="DZ2" s="11" t="str">
        <f t="shared" si="3"/>
        <v/>
      </c>
      <c r="EA2" s="11" t="str">
        <f t="shared" si="3"/>
        <v/>
      </c>
      <c r="EB2" s="11" t="str">
        <f t="shared" si="3"/>
        <v/>
      </c>
      <c r="EC2" s="11" t="str">
        <f t="shared" si="3"/>
        <v/>
      </c>
      <c r="ED2" s="11" t="str">
        <f t="shared" si="3"/>
        <v/>
      </c>
      <c r="EE2" s="11" t="str">
        <f t="shared" ref="EE2:EL2" si="4">IF(EE$8="","",EE$8)</f>
        <v/>
      </c>
      <c r="EF2" s="11" t="str">
        <f t="shared" si="4"/>
        <v/>
      </c>
      <c r="EG2" s="11" t="str">
        <f t="shared" si="4"/>
        <v/>
      </c>
      <c r="EH2" s="11" t="str">
        <f t="shared" si="4"/>
        <v/>
      </c>
      <c r="EI2" s="11" t="str">
        <f t="shared" si="4"/>
        <v/>
      </c>
      <c r="EJ2" s="11" t="str">
        <f t="shared" si="4"/>
        <v/>
      </c>
      <c r="EK2" s="11" t="str">
        <f t="shared" si="4"/>
        <v/>
      </c>
      <c r="EL2" s="11" t="str">
        <f t="shared" si="4"/>
        <v/>
      </c>
    </row>
    <row r="3" spans="1:145" s="10" customFormat="1" x14ac:dyDescent="0.2">
      <c r="E3" s="12" t="s">
        <v>406</v>
      </c>
      <c r="G3" s="13">
        <f t="shared" ref="G3:AL3" si="5">SUMPRODUCT($E$51:$E$83,G$51:G$83)</f>
        <v>0</v>
      </c>
      <c r="H3" s="13">
        <f t="shared" si="5"/>
        <v>0</v>
      </c>
      <c r="I3" s="13">
        <f t="shared" si="5"/>
        <v>0</v>
      </c>
      <c r="J3" s="13">
        <f t="shared" si="5"/>
        <v>2.163494977948187E-3</v>
      </c>
      <c r="K3" s="13">
        <f t="shared" si="5"/>
        <v>1.44742726924667E-2</v>
      </c>
      <c r="L3" s="13">
        <f t="shared" si="5"/>
        <v>8.2107382478714044E-3</v>
      </c>
      <c r="M3" s="13">
        <f t="shared" si="5"/>
        <v>-6.8406671598359821E-3</v>
      </c>
      <c r="N3" s="13">
        <f t="shared" si="5"/>
        <v>-1.0499138482327171E-2</v>
      </c>
      <c r="O3" s="13">
        <f t="shared" si="5"/>
        <v>1.1986058725131978E-2</v>
      </c>
      <c r="P3" s="13">
        <f t="shared" si="5"/>
        <v>1.8704579457835616E-2</v>
      </c>
      <c r="Q3" s="13">
        <f t="shared" si="5"/>
        <v>-7.0136371162544432E-6</v>
      </c>
      <c r="R3" s="13">
        <f t="shared" si="5"/>
        <v>-4.1750950321530322E-3</v>
      </c>
      <c r="S3" s="13">
        <f t="shared" si="5"/>
        <v>-2.8089083083364997E-3</v>
      </c>
      <c r="T3" s="13">
        <f t="shared" si="5"/>
        <v>-1.3008480586830249E-2</v>
      </c>
      <c r="U3" s="13">
        <f t="shared" si="5"/>
        <v>-1.5595594141557955E-2</v>
      </c>
      <c r="V3" s="13">
        <f t="shared" si="5"/>
        <v>-1.2978523456657454E-2</v>
      </c>
      <c r="W3" s="13">
        <f t="shared" si="5"/>
        <v>2.0197771312110886E-2</v>
      </c>
      <c r="X3" s="13">
        <f t="shared" si="5"/>
        <v>4.756787267113198E-3</v>
      </c>
      <c r="Y3" s="13">
        <f t="shared" si="5"/>
        <v>6.1858157097368412E-3</v>
      </c>
      <c r="Z3" s="13">
        <f t="shared" si="5"/>
        <v>1.1850541566325999E-2</v>
      </c>
      <c r="AA3" s="13">
        <f t="shared" si="5"/>
        <v>1.8114437831614934E-2</v>
      </c>
      <c r="AB3" s="13">
        <f t="shared" si="5"/>
        <v>-8.8647288667179618E-3</v>
      </c>
      <c r="AC3" s="13">
        <f t="shared" si="5"/>
        <v>-1.1408762545821923E-2</v>
      </c>
      <c r="AD3" s="13">
        <f t="shared" si="5"/>
        <v>-7.5035561630834458E-3</v>
      </c>
      <c r="AE3" s="13">
        <f t="shared" si="5"/>
        <v>8.802519065721652E-3</v>
      </c>
      <c r="AF3" s="13">
        <f t="shared" si="5"/>
        <v>-9.4918845501167255E-4</v>
      </c>
      <c r="AG3" s="13">
        <f t="shared" si="5"/>
        <v>1.4231899284370172E-2</v>
      </c>
      <c r="AH3" s="13">
        <f t="shared" si="5"/>
        <v>-5.015921968206211E-3</v>
      </c>
      <c r="AI3" s="13">
        <f t="shared" si="5"/>
        <v>1.2275058683040112E-2</v>
      </c>
      <c r="AJ3" s="13">
        <f t="shared" si="5"/>
        <v>8.4889892912227843E-3</v>
      </c>
      <c r="AK3" s="13">
        <f t="shared" si="5"/>
        <v>2.2376228267438587E-2</v>
      </c>
      <c r="AL3" s="13">
        <f t="shared" si="5"/>
        <v>1.3159811273262583E-2</v>
      </c>
      <c r="AM3" s="13">
        <f t="shared" ref="AM3:BQ3" si="6">SUMPRODUCT($E$51:$E$83,AM$51:AM$83)</f>
        <v>1.0212870264953315E-2</v>
      </c>
      <c r="AN3" s="13">
        <f t="shared" si="6"/>
        <v>1.0305381823430774E-2</v>
      </c>
      <c r="AO3" s="13">
        <f t="shared" si="6"/>
        <v>-4.1345954058776167E-3</v>
      </c>
      <c r="AP3" s="13">
        <f t="shared" si="6"/>
        <v>-3.961666321898062E-3</v>
      </c>
      <c r="AQ3" s="13">
        <f t="shared" si="6"/>
        <v>-5.2510688585268054E-3</v>
      </c>
      <c r="AR3" s="13">
        <f t="shared" si="6"/>
        <v>3.3076254189528622E-3</v>
      </c>
      <c r="AS3" s="13">
        <f t="shared" si="6"/>
        <v>1.7699006473108216E-2</v>
      </c>
      <c r="AT3" s="13">
        <f t="shared" si="6"/>
        <v>4.2550166282473486E-3</v>
      </c>
      <c r="AU3" s="13">
        <f t="shared" si="6"/>
        <v>6.5460323287557019E-4</v>
      </c>
      <c r="AV3" s="13">
        <f t="shared" si="6"/>
        <v>-8.9025574923035078E-5</v>
      </c>
      <c r="AW3" s="13">
        <f t="shared" si="6"/>
        <v>-3.5033963873909767E-3</v>
      </c>
      <c r="AX3" s="13">
        <f t="shared" si="6"/>
        <v>-3.2756056931126615E-3</v>
      </c>
      <c r="AY3" s="13">
        <f t="shared" si="6"/>
        <v>4.2847268072578444E-2</v>
      </c>
      <c r="AZ3" s="13">
        <f t="shared" si="6"/>
        <v>1.6158537521846518E-2</v>
      </c>
      <c r="BA3" s="13">
        <f t="shared" si="6"/>
        <v>9.4189667950875244E-3</v>
      </c>
      <c r="BB3" s="13">
        <f t="shared" si="6"/>
        <v>-5.2426398737204314E-4</v>
      </c>
      <c r="BC3" s="13">
        <f t="shared" si="6"/>
        <v>-3.6715313638293607E-3</v>
      </c>
      <c r="BD3" s="13">
        <f t="shared" si="6"/>
        <v>3.5557762990566606E-3</v>
      </c>
      <c r="BE3" s="13">
        <f t="shared" si="6"/>
        <v>-1.2875072030101094E-3</v>
      </c>
      <c r="BF3" s="13">
        <f t="shared" si="6"/>
        <v>-1.4267593402603775E-2</v>
      </c>
      <c r="BG3" s="13">
        <f t="shared" si="6"/>
        <v>-1.2813285004307867E-2</v>
      </c>
      <c r="BH3" s="13">
        <f t="shared" si="6"/>
        <v>4.258751240852645E-3</v>
      </c>
      <c r="BI3" s="13">
        <f t="shared" si="6"/>
        <v>7.394524586482978E-3</v>
      </c>
      <c r="BJ3" s="13">
        <f t="shared" si="6"/>
        <v>1.5047315197405377E-2</v>
      </c>
      <c r="BK3" s="13">
        <f t="shared" si="6"/>
        <v>3.7304015691408551E-2</v>
      </c>
      <c r="BL3" s="13">
        <f t="shared" si="6"/>
        <v>4.7489711580406936E-3</v>
      </c>
      <c r="BM3" s="13">
        <f t="shared" si="6"/>
        <v>-1.0357556189151993E-2</v>
      </c>
      <c r="BN3" s="13">
        <f t="shared" si="6"/>
        <v>-1.7078119209833514E-2</v>
      </c>
      <c r="BO3" s="13">
        <f t="shared" si="6"/>
        <v>1.9861447225821165E-2</v>
      </c>
      <c r="BP3" s="13">
        <f t="shared" si="6"/>
        <v>-6.6956043158758714E-3</v>
      </c>
      <c r="BQ3" s="13">
        <f t="shared" si="6"/>
        <v>1.6018146860179296E-2</v>
      </c>
      <c r="BR3" s="13">
        <f t="shared" ref="BR3:CW3" si="7">SUMPRODUCT($E$51:$E$84,BR$51:BR$84)</f>
        <v>-1.645555848884004E-2</v>
      </c>
      <c r="BS3" s="13">
        <f t="shared" si="7"/>
        <v>-7.3621319015284127E-4</v>
      </c>
      <c r="BT3" s="13">
        <f t="shared" si="7"/>
        <v>2.408010530068402E-2</v>
      </c>
      <c r="BU3" s="13">
        <f t="shared" si="7"/>
        <v>-4.4529543601063912E-4</v>
      </c>
      <c r="BV3" s="13">
        <f t="shared" si="7"/>
        <v>1.9441795874272031E-4</v>
      </c>
      <c r="BW3" s="13">
        <f t="shared" si="7"/>
        <v>2.0412727802710289E-2</v>
      </c>
      <c r="BX3" s="13">
        <f t="shared" si="7"/>
        <v>1.862780641801209E-2</v>
      </c>
      <c r="BY3" s="13">
        <f t="shared" si="7"/>
        <v>-4.9720018147709621E-4</v>
      </c>
      <c r="BZ3" s="13">
        <f t="shared" si="7"/>
        <v>-1.0041184561658494E-2</v>
      </c>
      <c r="CA3" s="13">
        <f t="shared" si="7"/>
        <v>1.708793202621758E-4</v>
      </c>
      <c r="CB3" s="13">
        <f t="shared" si="7"/>
        <v>3.4499208526565369E-3</v>
      </c>
      <c r="CC3" s="13">
        <f t="shared" si="7"/>
        <v>8.2123556266733011E-3</v>
      </c>
      <c r="CD3" s="13">
        <f t="shared" si="7"/>
        <v>6.032952970221224E-3</v>
      </c>
      <c r="CE3" s="13">
        <f t="shared" si="7"/>
        <v>3.4542261282304778E-3</v>
      </c>
      <c r="CF3" s="13">
        <f t="shared" si="7"/>
        <v>4.5270698506185468E-3</v>
      </c>
      <c r="CG3" s="13">
        <f t="shared" si="7"/>
        <v>1.0187866116369399E-2</v>
      </c>
      <c r="CH3" s="13">
        <f t="shared" si="7"/>
        <v>1.0167424567191153E-2</v>
      </c>
      <c r="CI3" s="13">
        <f t="shared" si="7"/>
        <v>3.2201283749279108E-2</v>
      </c>
      <c r="CJ3" s="13">
        <f t="shared" si="7"/>
        <v>1.9752711101959454E-2</v>
      </c>
      <c r="CK3" s="13">
        <f t="shared" si="7"/>
        <v>2.8256544924903778E-3</v>
      </c>
      <c r="CL3" s="13">
        <f t="shared" si="7"/>
        <v>-5.1635995243495356E-3</v>
      </c>
      <c r="CM3" s="13">
        <f t="shared" si="7"/>
        <v>3.5478518698858546E-3</v>
      </c>
      <c r="CN3" s="13">
        <f t="shared" si="7"/>
        <v>-5.8799025654416078E-3</v>
      </c>
      <c r="CO3" s="13">
        <f t="shared" si="7"/>
        <v>3.9415862267982516E-3</v>
      </c>
      <c r="CP3" s="13">
        <f t="shared" si="7"/>
        <v>3.7414624554897775E-3</v>
      </c>
      <c r="CQ3" s="13">
        <f t="shared" si="7"/>
        <v>3.3547347478297025E-3</v>
      </c>
      <c r="CR3" s="13">
        <f t="shared" si="7"/>
        <v>4.4028448679544032E-3</v>
      </c>
      <c r="CS3" s="13">
        <f t="shared" si="7"/>
        <v>6.822968931694956E-3</v>
      </c>
      <c r="CT3" s="13">
        <f t="shared" si="7"/>
        <v>2.9746422633121689E-2</v>
      </c>
      <c r="CU3" s="13">
        <f t="shared" si="7"/>
        <v>1.4917722672300243E-2</v>
      </c>
      <c r="CV3" s="13">
        <f t="shared" si="7"/>
        <v>7.188750711262867E-3</v>
      </c>
      <c r="CW3" s="13">
        <f t="shared" si="7"/>
        <v>-4.0639112087169126E-3</v>
      </c>
      <c r="CX3" s="13">
        <f t="shared" ref="CX3:DO3" si="8">SUMPRODUCT($E$51:$E$84,CX$51:CX$84)</f>
        <v>-1.3991080870218291E-2</v>
      </c>
      <c r="CY3" s="13">
        <f t="shared" si="8"/>
        <v>-2.7620680368738689E-3</v>
      </c>
      <c r="CZ3" s="13">
        <f t="shared" si="8"/>
        <v>-5.4734974148311476E-3</v>
      </c>
      <c r="DA3" s="13">
        <f t="shared" si="8"/>
        <v>5.7502212063786232E-3</v>
      </c>
      <c r="DB3" s="13">
        <f t="shared" si="8"/>
        <v>1.7538106957729924E-3</v>
      </c>
      <c r="DC3" s="13">
        <f t="shared" si="8"/>
        <v>6.5712204975299287E-3</v>
      </c>
      <c r="DD3" s="13">
        <f t="shared" si="8"/>
        <v>1.1781847968090293E-2</v>
      </c>
      <c r="DE3" s="13">
        <f t="shared" si="8"/>
        <v>-3.2462156318695907E-3</v>
      </c>
      <c r="DF3" s="13">
        <f t="shared" si="8"/>
        <v>8.6204963267742674E-3</v>
      </c>
      <c r="DG3" s="13">
        <f t="shared" si="8"/>
        <v>1.5148333836862539E-2</v>
      </c>
      <c r="DH3" s="13">
        <f t="shared" si="8"/>
        <v>-7.7800817255968104E-3</v>
      </c>
      <c r="DI3" s="13">
        <f t="shared" si="8"/>
        <v>-3.1375206503208488E-3</v>
      </c>
      <c r="DJ3" s="13">
        <f t="shared" si="8"/>
        <v>-1.3826343247624171E-2</v>
      </c>
      <c r="DK3" s="13">
        <f t="shared" si="8"/>
        <v>1.2989347254748482E-3</v>
      </c>
      <c r="DL3" s="13">
        <f t="shared" si="8"/>
        <v>7.030029064395398E-3</v>
      </c>
      <c r="DM3" s="13">
        <f t="shared" si="8"/>
        <v>1.1150287189228798E-2</v>
      </c>
      <c r="DN3" s="13">
        <f t="shared" si="8"/>
        <v>5.6608095819401898E-3</v>
      </c>
      <c r="DO3" s="13">
        <f t="shared" si="8"/>
        <v>-7.6147974115610088E-3</v>
      </c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</row>
    <row r="5" spans="1:145" x14ac:dyDescent="0.25"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120">
        <f t="shared" ref="BP5:CU5" si="9">SUMPRODUCT($A$9:$A$41,BP$51:BP$83)</f>
        <v>-7.3740246339327386E-3</v>
      </c>
      <c r="BQ5" s="120">
        <f t="shared" si="9"/>
        <v>1.7641157386921104E-2</v>
      </c>
      <c r="BR5" s="120">
        <f t="shared" si="9"/>
        <v>-1.8122888978685726E-2</v>
      </c>
      <c r="BS5" s="120">
        <f t="shared" si="9"/>
        <v>-8.1080869536166375E-4</v>
      </c>
      <c r="BT5" s="120">
        <f t="shared" si="9"/>
        <v>2.6519979571360052E-2</v>
      </c>
      <c r="BU5" s="120">
        <f t="shared" si="9"/>
        <v>-4.9041421201287839E-4</v>
      </c>
      <c r="BV5" s="120">
        <f t="shared" si="9"/>
        <v>2.141170160919522E-4</v>
      </c>
      <c r="BW5" s="120">
        <f t="shared" si="9"/>
        <v>2.2481011505719309E-2</v>
      </c>
      <c r="BX5" s="120">
        <f t="shared" si="9"/>
        <v>2.0515236104507287E-2</v>
      </c>
      <c r="BY5" s="120">
        <f t="shared" si="9"/>
        <v>-5.4757811442271865E-4</v>
      </c>
      <c r="BZ5" s="120">
        <f t="shared" si="9"/>
        <v>-1.1058589907406876E-2</v>
      </c>
      <c r="CA5" s="120">
        <f t="shared" si="9"/>
        <v>1.8819336651289677E-4</v>
      </c>
      <c r="CB5" s="120">
        <f t="shared" si="9"/>
        <v>3.7994780086223921E-3</v>
      </c>
      <c r="CC5" s="120">
        <f t="shared" si="9"/>
        <v>9.044458100685009E-3</v>
      </c>
      <c r="CD5" s="120">
        <f t="shared" si="9"/>
        <v>6.6442313074394233E-3</v>
      </c>
      <c r="CE5" s="120">
        <f t="shared" si="9"/>
        <v>3.8042195086633707E-3</v>
      </c>
      <c r="CF5" s="120">
        <f t="shared" si="9"/>
        <v>4.9857672322186014E-3</v>
      </c>
      <c r="CG5" s="120">
        <f t="shared" si="9"/>
        <v>1.1220133712380106E-2</v>
      </c>
      <c r="CH5" s="120">
        <f t="shared" si="9"/>
        <v>1.1197620959223723E-2</v>
      </c>
      <c r="CI5" s="120">
        <f t="shared" si="9"/>
        <v>3.5464022126937791E-2</v>
      </c>
      <c r="CJ5" s="120">
        <f t="shared" si="9"/>
        <v>2.1754119774885748E-2</v>
      </c>
      <c r="CK5" s="120">
        <f t="shared" si="9"/>
        <v>3.1119589586860283E-3</v>
      </c>
      <c r="CL5" s="120">
        <f t="shared" si="9"/>
        <v>-5.6867921543741866E-3</v>
      </c>
      <c r="CM5" s="120">
        <f t="shared" si="9"/>
        <v>3.9073317137409552E-3</v>
      </c>
      <c r="CN5" s="120">
        <f t="shared" si="9"/>
        <v>-6.4756733398781893E-3</v>
      </c>
      <c r="CO5" s="120">
        <f t="shared" si="9"/>
        <v>4.3409605111018523E-3</v>
      </c>
      <c r="CP5" s="120">
        <f t="shared" si="9"/>
        <v>4.1205595510324013E-3</v>
      </c>
      <c r="CQ5" s="120">
        <f t="shared" si="9"/>
        <v>3.6946473393223997E-3</v>
      </c>
      <c r="CR5" s="120">
        <f t="shared" si="9"/>
        <v>4.8489553719144839E-3</v>
      </c>
      <c r="CS5" s="120">
        <f t="shared" si="9"/>
        <v>7.51429424519313E-3</v>
      </c>
      <c r="CT5" s="120">
        <f t="shared" si="9"/>
        <v>3.2760426530569223E-2</v>
      </c>
      <c r="CU5" s="120">
        <f t="shared" si="9"/>
        <v>1.6429234655771167E-2</v>
      </c>
      <c r="CV5" s="120">
        <f t="shared" ref="CV5:DO5" si="10">SUMPRODUCT($A$9:$A$41,CV$51:CV$83)</f>
        <v>7.9171382195274611E-3</v>
      </c>
      <c r="CW5" s="120">
        <f t="shared" si="10"/>
        <v>-4.4756798564303639E-3</v>
      </c>
      <c r="CX5" s="120">
        <f t="shared" si="10"/>
        <v>-1.5408702504672831E-2</v>
      </c>
      <c r="CY5" s="120">
        <f t="shared" si="10"/>
        <v>-3.0419297174136863E-3</v>
      </c>
      <c r="CZ5" s="120">
        <f t="shared" si="10"/>
        <v>-6.0280899029578018E-3</v>
      </c>
      <c r="DA5" s="120">
        <f t="shared" si="10"/>
        <v>6.332852245443903E-3</v>
      </c>
      <c r="DB5" s="120">
        <f t="shared" si="10"/>
        <v>1.9315124765094489E-3</v>
      </c>
      <c r="DC5" s="120">
        <f t="shared" si="10"/>
        <v>7.2370378442010328E-3</v>
      </c>
      <c r="DD5" s="120">
        <f t="shared" si="10"/>
        <v>1.2975622968631651E-2</v>
      </c>
      <c r="DE5" s="120">
        <f t="shared" si="10"/>
        <v>-3.575132715012079E-3</v>
      </c>
      <c r="DF5" s="120">
        <f t="shared" si="10"/>
        <v>9.4939529385921675E-3</v>
      </c>
      <c r="DG5" s="120">
        <f t="shared" si="10"/>
        <v>1.6683212090535374E-2</v>
      </c>
      <c r="DH5" s="120">
        <f t="shared" si="10"/>
        <v>-8.5683848077058918E-3</v>
      </c>
      <c r="DI5" s="120">
        <f t="shared" si="10"/>
        <v>-3.455424405842014E-3</v>
      </c>
      <c r="DJ5" s="120">
        <f t="shared" si="10"/>
        <v>-1.522727313253024E-2</v>
      </c>
      <c r="DK5" s="120">
        <f t="shared" si="10"/>
        <v>1.4305469994412632E-3</v>
      </c>
      <c r="DL5" s="120">
        <f t="shared" si="10"/>
        <v>7.7423343812594312E-3</v>
      </c>
      <c r="DM5" s="120">
        <f t="shared" si="10"/>
        <v>1.2280070405869261E-2</v>
      </c>
      <c r="DN5" s="120">
        <f t="shared" si="10"/>
        <v>1.852249282157388E-3</v>
      </c>
      <c r="DO5" s="120">
        <f t="shared" si="10"/>
        <v>-1.2292440350886046E-2</v>
      </c>
      <c r="EN5" s="95"/>
      <c r="EO5" s="96"/>
    </row>
    <row r="6" spans="1:145" x14ac:dyDescent="0.25">
      <c r="B6" s="15" t="s">
        <v>407</v>
      </c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3"/>
      <c r="BO6" s="53"/>
      <c r="BP6" s="53"/>
      <c r="BQ6" s="53"/>
      <c r="BR6" s="53"/>
      <c r="BS6" s="53"/>
      <c r="BT6" s="53"/>
      <c r="BU6" s="53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3"/>
      <c r="CJ6" s="53"/>
      <c r="CK6" s="53"/>
      <c r="CL6" s="53"/>
      <c r="CM6" s="53"/>
      <c r="CN6" s="53"/>
      <c r="CO6" s="53"/>
      <c r="CP6" s="53"/>
      <c r="EN6" s="97"/>
      <c r="EO6" s="96"/>
    </row>
    <row r="8" spans="1:145" ht="30" customHeight="1" x14ac:dyDescent="0.25">
      <c r="B8" s="17" t="s">
        <v>408</v>
      </c>
      <c r="C8" s="17" t="s">
        <v>409</v>
      </c>
      <c r="D8" s="17" t="s">
        <v>410</v>
      </c>
      <c r="E8" s="17" t="s">
        <v>411</v>
      </c>
      <c r="G8" s="85">
        <v>39448</v>
      </c>
      <c r="H8" s="85">
        <v>39479</v>
      </c>
      <c r="I8" s="85">
        <v>39508</v>
      </c>
      <c r="J8" s="85">
        <v>39539</v>
      </c>
      <c r="K8" s="85">
        <v>39569</v>
      </c>
      <c r="L8" s="85">
        <v>39600</v>
      </c>
      <c r="M8" s="85">
        <v>39630</v>
      </c>
      <c r="N8" s="85">
        <v>39661</v>
      </c>
      <c r="O8" s="85">
        <v>39692</v>
      </c>
      <c r="P8" s="85">
        <v>39722</v>
      </c>
      <c r="Q8" s="85">
        <v>39753</v>
      </c>
      <c r="R8" s="85">
        <v>39783</v>
      </c>
      <c r="S8" s="85">
        <v>39814</v>
      </c>
      <c r="T8" s="85">
        <v>39845</v>
      </c>
      <c r="U8" s="85">
        <v>39873</v>
      </c>
      <c r="V8" s="85">
        <v>39904</v>
      </c>
      <c r="W8" s="85">
        <v>39934</v>
      </c>
      <c r="X8" s="85">
        <v>39965</v>
      </c>
      <c r="Y8" s="85">
        <v>39995</v>
      </c>
      <c r="Z8" s="85">
        <v>40026</v>
      </c>
      <c r="AA8" s="85">
        <v>40057</v>
      </c>
      <c r="AB8" s="85">
        <v>40087</v>
      </c>
      <c r="AC8" s="85">
        <v>40118</v>
      </c>
      <c r="AD8" s="85">
        <v>40148</v>
      </c>
      <c r="AE8" s="85">
        <v>40179</v>
      </c>
      <c r="AF8" s="85">
        <v>40210</v>
      </c>
      <c r="AG8" s="85">
        <v>40238</v>
      </c>
      <c r="AH8" s="85">
        <v>40269</v>
      </c>
      <c r="AI8" s="85">
        <v>40299</v>
      </c>
      <c r="AJ8" s="85">
        <v>40330</v>
      </c>
      <c r="AK8" s="85">
        <v>40360</v>
      </c>
      <c r="AL8" s="85">
        <v>40391</v>
      </c>
      <c r="AM8" s="85">
        <v>40422</v>
      </c>
      <c r="AN8" s="85">
        <v>40452</v>
      </c>
      <c r="AO8" s="85">
        <v>40483</v>
      </c>
      <c r="AP8" s="85">
        <v>40513</v>
      </c>
      <c r="AQ8" s="85">
        <v>40544</v>
      </c>
      <c r="AR8" s="85">
        <v>40575</v>
      </c>
      <c r="AS8" s="85">
        <v>40603</v>
      </c>
      <c r="AT8" s="85">
        <v>40634</v>
      </c>
      <c r="AU8" s="85">
        <v>40664</v>
      </c>
      <c r="AV8" s="85">
        <v>40695</v>
      </c>
      <c r="AW8" s="85">
        <v>40725</v>
      </c>
      <c r="AX8" s="85">
        <v>40756</v>
      </c>
      <c r="AY8" s="85">
        <v>40787</v>
      </c>
      <c r="AZ8" s="85">
        <v>40817</v>
      </c>
      <c r="BA8" s="85">
        <v>40848</v>
      </c>
      <c r="BB8" s="85">
        <v>40878</v>
      </c>
      <c r="BC8" s="85">
        <v>40909</v>
      </c>
      <c r="BD8" s="85">
        <v>40940</v>
      </c>
      <c r="BE8" s="85">
        <v>40969</v>
      </c>
      <c r="BF8" s="85">
        <v>41000</v>
      </c>
      <c r="BG8" s="85">
        <v>41030</v>
      </c>
      <c r="BH8" s="85">
        <v>41061</v>
      </c>
      <c r="BI8" s="85">
        <v>41091</v>
      </c>
      <c r="BJ8" s="85">
        <v>41122</v>
      </c>
      <c r="BK8" s="85">
        <v>41153</v>
      </c>
      <c r="BL8" s="85">
        <v>41183</v>
      </c>
      <c r="BM8" s="85">
        <v>41214</v>
      </c>
      <c r="BN8" s="85">
        <v>41244</v>
      </c>
      <c r="BO8" s="85">
        <v>41275</v>
      </c>
      <c r="BP8" s="85">
        <v>41306</v>
      </c>
      <c r="BQ8" s="85">
        <v>41334</v>
      </c>
      <c r="BR8" s="85">
        <v>41365</v>
      </c>
      <c r="BS8" s="85">
        <v>41395</v>
      </c>
      <c r="BT8" s="85">
        <v>41426</v>
      </c>
      <c r="BU8" s="85">
        <v>41456</v>
      </c>
      <c r="BV8" s="85">
        <v>41487</v>
      </c>
      <c r="BW8" s="85">
        <v>41518</v>
      </c>
      <c r="BX8" s="85">
        <v>41548</v>
      </c>
      <c r="BY8" s="85">
        <v>41579</v>
      </c>
      <c r="BZ8" s="85">
        <v>41609</v>
      </c>
      <c r="CA8" s="85">
        <v>41640</v>
      </c>
      <c r="CB8" s="85">
        <v>41671</v>
      </c>
      <c r="CC8" s="85">
        <v>41699</v>
      </c>
      <c r="CD8" s="85">
        <v>41730</v>
      </c>
      <c r="CE8" s="85">
        <v>41760</v>
      </c>
      <c r="CF8" s="85">
        <v>41791</v>
      </c>
      <c r="CG8" s="85">
        <v>41821</v>
      </c>
      <c r="CH8" s="85">
        <v>41852</v>
      </c>
      <c r="CI8" s="85">
        <v>41883</v>
      </c>
      <c r="CJ8" s="85">
        <v>41913</v>
      </c>
      <c r="CK8" s="85">
        <v>41944</v>
      </c>
      <c r="CL8" s="85">
        <v>41974</v>
      </c>
      <c r="CM8" s="85">
        <v>42005</v>
      </c>
      <c r="CN8" s="85">
        <v>42036</v>
      </c>
      <c r="CO8" s="85">
        <v>42064</v>
      </c>
      <c r="CP8" s="85">
        <v>42095</v>
      </c>
      <c r="CQ8" s="85">
        <v>42125</v>
      </c>
      <c r="CR8" s="85">
        <v>42156</v>
      </c>
      <c r="CS8" s="85">
        <v>42186</v>
      </c>
      <c r="CT8" s="85">
        <v>42217</v>
      </c>
      <c r="CU8" s="85">
        <v>42248</v>
      </c>
      <c r="CV8" s="85">
        <v>42278</v>
      </c>
      <c r="CW8" s="85">
        <v>42309</v>
      </c>
      <c r="CX8" s="85">
        <v>42339</v>
      </c>
      <c r="CY8" s="85">
        <v>42370</v>
      </c>
      <c r="CZ8" s="85">
        <v>42401</v>
      </c>
      <c r="DA8" s="85">
        <v>42430</v>
      </c>
      <c r="DB8" s="85">
        <v>42461</v>
      </c>
      <c r="DC8" s="85">
        <v>42491</v>
      </c>
      <c r="DD8" s="85">
        <v>42522</v>
      </c>
      <c r="DE8" s="85">
        <v>42552</v>
      </c>
      <c r="DF8" s="85">
        <v>42583</v>
      </c>
      <c r="DG8" s="85">
        <v>42614</v>
      </c>
      <c r="DH8" s="85">
        <v>42644</v>
      </c>
      <c r="DI8" s="85">
        <v>42675</v>
      </c>
      <c r="DJ8" s="85">
        <v>42705</v>
      </c>
      <c r="DK8" s="85">
        <v>42736</v>
      </c>
      <c r="DL8" s="85">
        <v>42767</v>
      </c>
      <c r="DM8" s="85">
        <v>42795</v>
      </c>
      <c r="DN8" s="85">
        <v>42826</v>
      </c>
      <c r="DO8" s="85">
        <v>42856</v>
      </c>
      <c r="DP8" s="85"/>
      <c r="DQ8" s="85"/>
      <c r="DR8" s="85"/>
      <c r="DS8" s="85"/>
      <c r="DT8" s="85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</row>
    <row r="9" spans="1:145" x14ac:dyDescent="0.25">
      <c r="A9" s="119">
        <f t="shared" ref="A9:A41" si="11">D9/SUM($D$9:$D$41)</f>
        <v>3.0873795430499562E-2</v>
      </c>
      <c r="B9" s="71">
        <v>1</v>
      </c>
      <c r="C9" s="72" t="s">
        <v>29</v>
      </c>
      <c r="D9" s="86">
        <v>3.4550000000000002E-3</v>
      </c>
      <c r="E9" s="20">
        <f t="shared" ref="E9:E42" si="12">D9/$D$43</f>
        <v>2.8033364165976994E-2</v>
      </c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>
        <v>1399.3047883428769</v>
      </c>
      <c r="BP9" s="21">
        <v>1400.3464495742389</v>
      </c>
      <c r="BQ9" s="21">
        <v>1415.6229196749839</v>
      </c>
      <c r="BR9" s="21">
        <v>1406.577244438537</v>
      </c>
      <c r="BS9" s="21">
        <v>1391.007166610802</v>
      </c>
      <c r="BT9" s="21">
        <v>1412.2565784874771</v>
      </c>
      <c r="BU9" s="21">
        <v>1381.2723951191761</v>
      </c>
      <c r="BV9" s="21">
        <v>1371.442751185042</v>
      </c>
      <c r="BW9" s="21">
        <v>1384.5100156074359</v>
      </c>
      <c r="BX9" s="21">
        <v>1398.471654532839</v>
      </c>
      <c r="BY9" s="21">
        <v>1361.255896276457</v>
      </c>
      <c r="BZ9" s="21">
        <v>1370.4402001124481</v>
      </c>
      <c r="CA9" s="21">
        <v>1359.848866700363</v>
      </c>
      <c r="CB9" s="21">
        <v>1398.3262170410201</v>
      </c>
      <c r="CC9" s="21">
        <v>1414.091401644994</v>
      </c>
      <c r="CD9" s="21">
        <v>1421.2175559506541</v>
      </c>
      <c r="CE9" s="21">
        <v>1425.248589788655</v>
      </c>
      <c r="CF9" s="21">
        <v>1432.4859757152669</v>
      </c>
      <c r="CG9" s="21">
        <v>1461.745041802197</v>
      </c>
      <c r="CH9" s="21">
        <v>1460.1774438105181</v>
      </c>
      <c r="CI9" s="21">
        <v>1442.7482228937811</v>
      </c>
      <c r="CJ9" s="21">
        <v>1441.935491127731</v>
      </c>
      <c r="CK9" s="21">
        <v>1426.0344150778431</v>
      </c>
      <c r="CL9" s="21">
        <v>1407.508139947261</v>
      </c>
      <c r="CM9" s="21">
        <v>1418.9787201841821</v>
      </c>
      <c r="CN9" s="21">
        <v>1435.3823187685709</v>
      </c>
      <c r="CO9" s="21">
        <v>1444.4724599129311</v>
      </c>
      <c r="CP9" s="21">
        <v>1449.086426189835</v>
      </c>
      <c r="CQ9" s="21">
        <v>1460.764695637024</v>
      </c>
      <c r="CR9" s="21">
        <v>1461.601772235065</v>
      </c>
      <c r="CS9" s="21">
        <v>1443.4940606300229</v>
      </c>
      <c r="CT9" s="21">
        <v>1440.8254603066059</v>
      </c>
      <c r="CU9" s="21">
        <v>1428.404640014958</v>
      </c>
      <c r="CV9" s="21">
        <v>1465.448078697885</v>
      </c>
      <c r="CW9" s="21">
        <v>1489.1200245703981</v>
      </c>
      <c r="CX9" s="21">
        <v>1483.7147369666609</v>
      </c>
      <c r="CY9" s="21">
        <v>1511.7131851294421</v>
      </c>
      <c r="CZ9" s="21">
        <v>1551.716677238787</v>
      </c>
      <c r="DA9" s="21">
        <v>1553.645414686443</v>
      </c>
      <c r="DB9" s="21">
        <v>1552.458325273423</v>
      </c>
      <c r="DC9" s="21">
        <v>1507.7142991952239</v>
      </c>
      <c r="DD9" s="21">
        <v>1525.336868963258</v>
      </c>
      <c r="DE9" s="21">
        <v>1559.7440453239219</v>
      </c>
      <c r="DF9" s="21">
        <v>1585.6262338467029</v>
      </c>
      <c r="DG9" s="21">
        <v>1592.997926074052</v>
      </c>
      <c r="DH9" s="21">
        <v>1572.913317852448</v>
      </c>
      <c r="DI9" s="21">
        <v>1571.6810392107161</v>
      </c>
      <c r="DJ9" s="21">
        <v>1558.074591425262</v>
      </c>
      <c r="DK9" s="21">
        <v>1591.877391557204</v>
      </c>
      <c r="DL9" s="21">
        <v>1587.316148864742</v>
      </c>
      <c r="DM9" s="21">
        <v>1592.422949805733</v>
      </c>
      <c r="DN9" s="21">
        <v>1565.4155759815999</v>
      </c>
      <c r="DO9" s="21">
        <v>1528.485526752738</v>
      </c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</row>
    <row r="10" spans="1:145" x14ac:dyDescent="0.25">
      <c r="A10" s="119">
        <f t="shared" si="11"/>
        <v>1.672457178805296E-2</v>
      </c>
      <c r="B10" s="73">
        <v>2</v>
      </c>
      <c r="C10" s="74" t="s">
        <v>74</v>
      </c>
      <c r="D10" s="87">
        <v>1.8716E-3</v>
      </c>
      <c r="E10" s="24">
        <f t="shared" si="12"/>
        <v>1.5185888385829968E-2</v>
      </c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>
        <v>582.04147270687008</v>
      </c>
      <c r="BP10" s="25">
        <v>581.34390988394603</v>
      </c>
      <c r="BQ10" s="25">
        <v>579.23434290645298</v>
      </c>
      <c r="BR10" s="25">
        <v>573.56557575585248</v>
      </c>
      <c r="BS10" s="25">
        <v>572.66567319337412</v>
      </c>
      <c r="BT10" s="25">
        <v>580.86407526520907</v>
      </c>
      <c r="BU10" s="25">
        <v>567.19787731032886</v>
      </c>
      <c r="BV10" s="25">
        <v>560.20659139004943</v>
      </c>
      <c r="BW10" s="25">
        <v>558.60601467014544</v>
      </c>
      <c r="BX10" s="25">
        <v>569.54174931916646</v>
      </c>
      <c r="BY10" s="25">
        <v>562.74921217458063</v>
      </c>
      <c r="BZ10" s="25">
        <v>563.71385561605393</v>
      </c>
      <c r="CA10" s="25">
        <v>565.86145579881122</v>
      </c>
      <c r="CB10" s="25">
        <v>564.66083847063305</v>
      </c>
      <c r="CC10" s="25">
        <v>564.15705735188146</v>
      </c>
      <c r="CD10" s="25">
        <v>566.79240012902903</v>
      </c>
      <c r="CE10" s="25">
        <v>572.60851706586436</v>
      </c>
      <c r="CF10" s="25">
        <v>588.76441914852865</v>
      </c>
      <c r="CG10" s="25">
        <v>602.86606824514752</v>
      </c>
      <c r="CH10" s="25">
        <v>599.63876247879136</v>
      </c>
      <c r="CI10" s="25">
        <v>600.63457469946729</v>
      </c>
      <c r="CJ10" s="25">
        <v>595.32402155396835</v>
      </c>
      <c r="CK10" s="25">
        <v>602.31715228023415</v>
      </c>
      <c r="CL10" s="25">
        <v>600.79611110138387</v>
      </c>
      <c r="CM10" s="25">
        <v>598.98807807551793</v>
      </c>
      <c r="CN10" s="25">
        <v>597.57545849931819</v>
      </c>
      <c r="CO10" s="25">
        <v>600.13932786378177</v>
      </c>
      <c r="CP10" s="25">
        <v>598.87542395999776</v>
      </c>
      <c r="CQ10" s="25">
        <v>598.21827551294007</v>
      </c>
      <c r="CR10" s="25">
        <v>600.61265492057021</v>
      </c>
      <c r="CS10" s="25">
        <v>603.34836380990714</v>
      </c>
      <c r="CT10" s="25">
        <v>600.69695099791272</v>
      </c>
      <c r="CU10" s="25">
        <v>610.62645120451293</v>
      </c>
      <c r="CV10" s="25">
        <v>616.8812690971148</v>
      </c>
      <c r="CW10" s="25">
        <v>626.67706793247123</v>
      </c>
      <c r="CX10" s="25">
        <v>629.25722501526309</v>
      </c>
      <c r="CY10" s="25">
        <v>628.84225464354972</v>
      </c>
      <c r="CZ10" s="25">
        <v>646.3271509923062</v>
      </c>
      <c r="DA10" s="25">
        <v>658.22778273318772</v>
      </c>
      <c r="DB10" s="25">
        <v>659.84811939265444</v>
      </c>
      <c r="DC10" s="25">
        <v>659.14024221450518</v>
      </c>
      <c r="DD10" s="25">
        <v>664.80857964529912</v>
      </c>
      <c r="DE10" s="25">
        <v>662.22071735833003</v>
      </c>
      <c r="DF10" s="25">
        <v>671.13839327084656</v>
      </c>
      <c r="DG10" s="25">
        <v>672.97631814306533</v>
      </c>
      <c r="DH10" s="25">
        <v>689.61005431587148</v>
      </c>
      <c r="DI10" s="25">
        <v>704.51219587562525</v>
      </c>
      <c r="DJ10" s="25">
        <v>690.59738058629796</v>
      </c>
      <c r="DK10" s="25">
        <v>697.64030741340287</v>
      </c>
      <c r="DL10" s="25">
        <v>694.18208731685695</v>
      </c>
      <c r="DM10" s="25">
        <v>701.17613078526881</v>
      </c>
      <c r="DN10" s="25">
        <v>705.42962689752733</v>
      </c>
      <c r="DO10" s="25">
        <v>700.56722331748574</v>
      </c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</row>
    <row r="11" spans="1:145" x14ac:dyDescent="0.25">
      <c r="A11" s="119">
        <f t="shared" si="11"/>
        <v>0.153065218323754</v>
      </c>
      <c r="B11" s="73">
        <v>3</v>
      </c>
      <c r="C11" s="74" t="s">
        <v>79</v>
      </c>
      <c r="D11" s="87">
        <v>1.7129100000000001E-2</v>
      </c>
      <c r="E11" s="24">
        <f t="shared" si="12"/>
        <v>0.13898300959057497</v>
      </c>
      <c r="G11" s="25"/>
      <c r="H11" s="25"/>
      <c r="I11" s="25"/>
      <c r="J11" s="25"/>
      <c r="K11" s="25"/>
      <c r="L11" s="25"/>
      <c r="M11" s="25"/>
      <c r="N11" s="25">
        <v>5079.3159425307495</v>
      </c>
      <c r="O11" s="25">
        <v>4949.3576627087923</v>
      </c>
      <c r="P11" s="25">
        <v>4900.201480646293</v>
      </c>
      <c r="Q11" s="25">
        <v>4884.8207478415443</v>
      </c>
      <c r="R11" s="25">
        <v>4640.8525178597856</v>
      </c>
      <c r="S11" s="25">
        <v>4697.5871615055257</v>
      </c>
      <c r="T11" s="25">
        <v>4667.3335432952317</v>
      </c>
      <c r="U11" s="25">
        <v>4492.3754023947322</v>
      </c>
      <c r="V11" s="25">
        <v>4436.2461103268142</v>
      </c>
      <c r="W11" s="25">
        <v>4533.3028108914832</v>
      </c>
      <c r="X11" s="25">
        <v>4462.7860396050019</v>
      </c>
      <c r="Y11" s="25">
        <v>4373.9955292348686</v>
      </c>
      <c r="Z11" s="25">
        <v>4616.1248996544646</v>
      </c>
      <c r="AA11" s="25">
        <v>4516.0803954480598</v>
      </c>
      <c r="AB11" s="25">
        <v>4435.541643518829</v>
      </c>
      <c r="AC11" s="25">
        <v>4324.2590363346308</v>
      </c>
      <c r="AD11" s="25">
        <v>4211.841333232006</v>
      </c>
      <c r="AE11" s="25">
        <v>4408.6753493958513</v>
      </c>
      <c r="AF11" s="25">
        <v>4360.2961341743739</v>
      </c>
      <c r="AG11" s="25">
        <v>4464.1949978242619</v>
      </c>
      <c r="AH11" s="25">
        <v>4495.5534636473312</v>
      </c>
      <c r="AI11" s="25">
        <v>4563.2053584511996</v>
      </c>
      <c r="AJ11" s="25">
        <v>4634.6695701622257</v>
      </c>
      <c r="AK11" s="25">
        <v>4698.7036141787958</v>
      </c>
      <c r="AL11" s="25">
        <v>4748.7938031970234</v>
      </c>
      <c r="AM11" s="25">
        <v>4723.448455799773</v>
      </c>
      <c r="AN11" s="25">
        <v>4833.6590795754664</v>
      </c>
      <c r="AO11" s="25">
        <v>5037.5240681424193</v>
      </c>
      <c r="AP11" s="25">
        <v>5128.5676947288594</v>
      </c>
      <c r="AQ11" s="25">
        <v>5109.8443102106075</v>
      </c>
      <c r="AR11" s="25">
        <v>5084.9338448927456</v>
      </c>
      <c r="AS11" s="25">
        <v>5366.8820879977484</v>
      </c>
      <c r="AT11" s="25">
        <v>5604.0890354619514</v>
      </c>
      <c r="AU11" s="25">
        <v>5418.9179304131694</v>
      </c>
      <c r="AV11" s="25">
        <v>5242.7097501583357</v>
      </c>
      <c r="AW11" s="25">
        <v>5202.6775815131477</v>
      </c>
      <c r="AX11" s="25">
        <v>5245.3275089397684</v>
      </c>
      <c r="AY11" s="25">
        <v>5301.3563487820647</v>
      </c>
      <c r="AZ11" s="25">
        <v>5527.4280670034041</v>
      </c>
      <c r="BA11" s="25">
        <v>5733.7953939668232</v>
      </c>
      <c r="BB11" s="25">
        <v>5718.3053752472733</v>
      </c>
      <c r="BC11" s="25">
        <v>5655.6959651658144</v>
      </c>
      <c r="BD11" s="25">
        <v>5742.5689973397966</v>
      </c>
      <c r="BE11" s="25">
        <v>5854.431032494741</v>
      </c>
      <c r="BF11" s="25">
        <v>5833.64941143947</v>
      </c>
      <c r="BG11" s="25">
        <v>5747.3054970477006</v>
      </c>
      <c r="BH11" s="25">
        <v>5606.4277420617682</v>
      </c>
      <c r="BI11" s="25">
        <v>5551.9400478389034</v>
      </c>
      <c r="BJ11" s="25">
        <v>5665.2089497537181</v>
      </c>
      <c r="BK11" s="25">
        <v>5725.771172268257</v>
      </c>
      <c r="BL11" s="25">
        <v>5710.6812937242285</v>
      </c>
      <c r="BM11" s="25">
        <v>5667.1762038088173</v>
      </c>
      <c r="BN11" s="25">
        <v>5499.2761520300737</v>
      </c>
      <c r="BO11" s="25">
        <v>5589.9827330985499</v>
      </c>
      <c r="BP11" s="25">
        <v>5474.3822667242976</v>
      </c>
      <c r="BQ11" s="25">
        <v>5445.1093173594008</v>
      </c>
      <c r="BR11" s="25">
        <v>5342.8760068453385</v>
      </c>
      <c r="BS11" s="25">
        <v>5379.3930709515671</v>
      </c>
      <c r="BT11" s="25">
        <v>5362.2942216941256</v>
      </c>
      <c r="BU11" s="25">
        <v>5460.3780272646454</v>
      </c>
      <c r="BV11" s="25">
        <v>5548.435868985649</v>
      </c>
      <c r="BW11" s="25">
        <v>5592.6408264824286</v>
      </c>
      <c r="BX11" s="25">
        <v>5569.1753439660824</v>
      </c>
      <c r="BY11" s="25">
        <v>5652.9740779347858</v>
      </c>
      <c r="BZ11" s="25">
        <v>5644.1922440331682</v>
      </c>
      <c r="CA11" s="25">
        <v>5682.9956434789992</v>
      </c>
      <c r="CB11" s="25">
        <v>5705.0451282194963</v>
      </c>
      <c r="CC11" s="25">
        <v>5757.7076446606588</v>
      </c>
      <c r="CD11" s="25">
        <v>5752.2526355469827</v>
      </c>
      <c r="CE11" s="25">
        <v>5815.5611470577905</v>
      </c>
      <c r="CF11" s="25">
        <v>5736.7542904009661</v>
      </c>
      <c r="CG11" s="25">
        <v>5774.2373523352744</v>
      </c>
      <c r="CH11" s="25">
        <v>5753.9238002825723</v>
      </c>
      <c r="CI11" s="25">
        <v>5749.2377409014434</v>
      </c>
      <c r="CJ11" s="25">
        <v>5895.1360466148999</v>
      </c>
      <c r="CK11" s="25">
        <v>5906.6751833988592</v>
      </c>
      <c r="CL11" s="25">
        <v>5901.3334369276618</v>
      </c>
      <c r="CM11" s="25">
        <v>5897.7459182587809</v>
      </c>
      <c r="CN11" s="25">
        <v>5886.9658527513729</v>
      </c>
      <c r="CO11" s="25">
        <v>5899.4043257906833</v>
      </c>
      <c r="CP11" s="25">
        <v>5885.3719046018814</v>
      </c>
      <c r="CQ11" s="25">
        <v>5904.1758421719514</v>
      </c>
      <c r="CR11" s="25">
        <v>5924.5544736333422</v>
      </c>
      <c r="CS11" s="25">
        <v>5959.5159290351066</v>
      </c>
      <c r="CT11" s="25">
        <v>6062.345206785968</v>
      </c>
      <c r="CU11" s="25">
        <v>6163.6268200427567</v>
      </c>
      <c r="CV11" s="25">
        <v>6249.5844890953731</v>
      </c>
      <c r="CW11" s="25">
        <v>6171.7881250280971</v>
      </c>
      <c r="CX11" s="25">
        <v>6070.4803296542004</v>
      </c>
      <c r="CY11" s="25">
        <v>6101.1864352027378</v>
      </c>
      <c r="CZ11" s="25">
        <v>6021.3817564049796</v>
      </c>
      <c r="DA11" s="25">
        <v>6044.9747043344514</v>
      </c>
      <c r="DB11" s="25">
        <v>6018.0194011152034</v>
      </c>
      <c r="DC11" s="25">
        <v>5993.9053324551232</v>
      </c>
      <c r="DD11" s="25">
        <v>6054.3440710484383</v>
      </c>
      <c r="DE11" s="25">
        <v>6112.1106957543689</v>
      </c>
      <c r="DF11" s="25">
        <v>6123.5255015323119</v>
      </c>
      <c r="DG11" s="25">
        <v>6131.7281688953472</v>
      </c>
      <c r="DH11" s="25">
        <v>6119.3596592042122</v>
      </c>
      <c r="DI11" s="25">
        <v>6135.2272230196186</v>
      </c>
      <c r="DJ11" s="25">
        <v>6054.6772756113169</v>
      </c>
      <c r="DK11" s="25">
        <v>6107.4704020265581</v>
      </c>
      <c r="DL11" s="25">
        <v>6137.1241479118016</v>
      </c>
      <c r="DM11" s="25">
        <v>6157.4039732002548</v>
      </c>
      <c r="DN11" s="25">
        <v>6152.9697769356962</v>
      </c>
      <c r="DO11" s="25">
        <v>6082.3623690445211</v>
      </c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</row>
    <row r="12" spans="1:145" x14ac:dyDescent="0.25">
      <c r="A12" s="119">
        <f t="shared" si="11"/>
        <v>4.2469117268593981E-2</v>
      </c>
      <c r="B12" s="73">
        <v>4</v>
      </c>
      <c r="C12" s="74" t="s">
        <v>91</v>
      </c>
      <c r="D12" s="87">
        <v>4.7526000000000001E-3</v>
      </c>
      <c r="E12" s="24">
        <f t="shared" si="12"/>
        <v>3.8561900589065778E-2</v>
      </c>
      <c r="G12" s="25"/>
      <c r="H12" s="25"/>
      <c r="I12" s="25"/>
      <c r="J12" s="25"/>
      <c r="K12" s="25"/>
      <c r="L12" s="25"/>
      <c r="M12" s="25"/>
      <c r="N12" s="25">
        <v>3057.6044739115068</v>
      </c>
      <c r="O12" s="25">
        <v>3020.484851103964</v>
      </c>
      <c r="P12" s="25">
        <v>2864.4133264049879</v>
      </c>
      <c r="Q12" s="25">
        <v>2464.5154303730392</v>
      </c>
      <c r="R12" s="25">
        <v>2460.2475266296019</v>
      </c>
      <c r="S12" s="25">
        <v>2695.2416714587321</v>
      </c>
      <c r="T12" s="25">
        <v>2828.0879259761159</v>
      </c>
      <c r="U12" s="25">
        <v>2859.1402462618971</v>
      </c>
      <c r="V12" s="25">
        <v>2842.088157410411</v>
      </c>
      <c r="W12" s="25">
        <v>2830.6761622378322</v>
      </c>
      <c r="X12" s="25">
        <v>3022.5131625806098</v>
      </c>
      <c r="Y12" s="25">
        <v>2862.3018812604719</v>
      </c>
      <c r="Z12" s="25">
        <v>3213.2018866182229</v>
      </c>
      <c r="AA12" s="25">
        <v>3356.011732367142</v>
      </c>
      <c r="AB12" s="25">
        <v>3169.3185430101012</v>
      </c>
      <c r="AC12" s="25">
        <v>3110.0491003276461</v>
      </c>
      <c r="AD12" s="25">
        <v>3151.0676458267508</v>
      </c>
      <c r="AE12" s="25">
        <v>3178.4407471910699</v>
      </c>
      <c r="AF12" s="25">
        <v>3164.0193886164639</v>
      </c>
      <c r="AG12" s="25">
        <v>3156.1118239389839</v>
      </c>
      <c r="AH12" s="25">
        <v>3226.0297979604429</v>
      </c>
      <c r="AI12" s="25">
        <v>3249.8184005970302</v>
      </c>
      <c r="AJ12" s="25">
        <v>3372.481312679653</v>
      </c>
      <c r="AK12" s="25">
        <v>3409.544175199439</v>
      </c>
      <c r="AL12" s="25">
        <v>3473.6082140555741</v>
      </c>
      <c r="AM12" s="25">
        <v>3525.5718041941068</v>
      </c>
      <c r="AN12" s="25">
        <v>3470.3632285046328</v>
      </c>
      <c r="AO12" s="25">
        <v>3417.397003449913</v>
      </c>
      <c r="AP12" s="25">
        <v>3543.671489366795</v>
      </c>
      <c r="AQ12" s="25">
        <v>3669.7702905711972</v>
      </c>
      <c r="AR12" s="25">
        <v>3555.581050869037</v>
      </c>
      <c r="AS12" s="25">
        <v>3631.1723786919888</v>
      </c>
      <c r="AT12" s="25">
        <v>3550.359556302426</v>
      </c>
      <c r="AU12" s="25">
        <v>3646.6151518984479</v>
      </c>
      <c r="AV12" s="25">
        <v>3419.0765127807422</v>
      </c>
      <c r="AW12" s="25">
        <v>3408.9148377951251</v>
      </c>
      <c r="AX12" s="25">
        <v>3547.8215881690271</v>
      </c>
      <c r="AY12" s="25">
        <v>3808.546595396348</v>
      </c>
      <c r="AZ12" s="25">
        <v>3837.8691880344732</v>
      </c>
      <c r="BA12" s="25">
        <v>3849.8883062965219</v>
      </c>
      <c r="BB12" s="25">
        <v>4033.9620237722752</v>
      </c>
      <c r="BC12" s="25">
        <v>4006.3721788313192</v>
      </c>
      <c r="BD12" s="25">
        <v>3899.3429432768821</v>
      </c>
      <c r="BE12" s="25">
        <v>3826.590719194005</v>
      </c>
      <c r="BF12" s="25">
        <v>3438.0092857990812</v>
      </c>
      <c r="BG12" s="25">
        <v>3440.6642502611908</v>
      </c>
      <c r="BH12" s="25">
        <v>3466.5993106690198</v>
      </c>
      <c r="BI12" s="25">
        <v>3411.652746480358</v>
      </c>
      <c r="BJ12" s="25">
        <v>3561.591112041589</v>
      </c>
      <c r="BK12" s="25">
        <v>3895.2036506166319</v>
      </c>
      <c r="BL12" s="25">
        <v>3887.161509819045</v>
      </c>
      <c r="BM12" s="25">
        <v>3860.2736577600958</v>
      </c>
      <c r="BN12" s="25">
        <v>3978.6218558324672</v>
      </c>
      <c r="BO12" s="25">
        <v>3803.7572924693632</v>
      </c>
      <c r="BP12" s="25">
        <v>3613.0749755114771</v>
      </c>
      <c r="BQ12" s="25">
        <v>3639.010273611028</v>
      </c>
      <c r="BR12" s="25">
        <v>3659.5304918004149</v>
      </c>
      <c r="BS12" s="25">
        <v>3636.484116181035</v>
      </c>
      <c r="BT12" s="25">
        <v>3605.902905734571</v>
      </c>
      <c r="BU12" s="25">
        <v>3569.1500824518471</v>
      </c>
      <c r="BV12" s="25">
        <v>3641.0599394400542</v>
      </c>
      <c r="BW12" s="25">
        <v>3926.1272373781871</v>
      </c>
      <c r="BX12" s="25">
        <v>3879.493900403329</v>
      </c>
      <c r="BY12" s="25">
        <v>3921.1433078265491</v>
      </c>
      <c r="BZ12" s="25">
        <v>3961.268453763686</v>
      </c>
      <c r="CA12" s="25">
        <v>4006.3823013146211</v>
      </c>
      <c r="CB12" s="25">
        <v>3946.8517033336661</v>
      </c>
      <c r="CC12" s="25">
        <v>3959.6757006195139</v>
      </c>
      <c r="CD12" s="25">
        <v>3956.0578521679372</v>
      </c>
      <c r="CE12" s="25">
        <v>3991.023669021813</v>
      </c>
      <c r="CF12" s="25">
        <v>4077.9309321758119</v>
      </c>
      <c r="CG12" s="25">
        <v>4162.7989551702403</v>
      </c>
      <c r="CH12" s="25">
        <v>4268.636939441476</v>
      </c>
      <c r="CI12" s="25">
        <v>4566.231757499223</v>
      </c>
      <c r="CJ12" s="25">
        <v>4584.5582867188268</v>
      </c>
      <c r="CK12" s="25">
        <v>4537.1390326029186</v>
      </c>
      <c r="CL12" s="25">
        <v>4522.1031521389696</v>
      </c>
      <c r="CM12" s="25">
        <v>4468.9597488366944</v>
      </c>
      <c r="CN12" s="25">
        <v>4392.6921827307051</v>
      </c>
      <c r="CO12" s="25">
        <v>4351.9004555060947</v>
      </c>
      <c r="CP12" s="25">
        <v>4346.9282240673256</v>
      </c>
      <c r="CQ12" s="25">
        <v>4305.2860469859488</v>
      </c>
      <c r="CR12" s="25">
        <v>4294.5417151229794</v>
      </c>
      <c r="CS12" s="25">
        <v>4298.6605073960554</v>
      </c>
      <c r="CT12" s="25">
        <v>4351.2112076351077</v>
      </c>
      <c r="CU12" s="25">
        <v>4465.7932679466112</v>
      </c>
      <c r="CV12" s="25">
        <v>4355.9058176935177</v>
      </c>
      <c r="CW12" s="25">
        <v>4294.4131498298457</v>
      </c>
      <c r="CX12" s="25">
        <v>4310.1812092673354</v>
      </c>
      <c r="CY12" s="25">
        <v>4343.5994191583086</v>
      </c>
      <c r="CZ12" s="25">
        <v>4269.6772504475539</v>
      </c>
      <c r="DA12" s="25">
        <v>4262.7042791692757</v>
      </c>
      <c r="DB12" s="25">
        <v>4239.0226268987799</v>
      </c>
      <c r="DC12" s="25">
        <v>4235.9820836973367</v>
      </c>
      <c r="DD12" s="25">
        <v>4260.8310054668018</v>
      </c>
      <c r="DE12" s="25">
        <v>4393.4994882904421</v>
      </c>
      <c r="DF12" s="25">
        <v>4429.5030260269432</v>
      </c>
      <c r="DG12" s="25">
        <v>4526.212745489036</v>
      </c>
      <c r="DH12" s="25">
        <v>4465.8756215778603</v>
      </c>
      <c r="DI12" s="25">
        <v>4416.3549622983883</v>
      </c>
      <c r="DJ12" s="25">
        <v>4447.9613681810861</v>
      </c>
      <c r="DK12" s="25">
        <v>4443.1302721463526</v>
      </c>
      <c r="DL12" s="25">
        <v>4407.0130508472184</v>
      </c>
      <c r="DM12" s="25">
        <v>4398.7718777898563</v>
      </c>
      <c r="DN12" s="25">
        <v>4325.0585544929663</v>
      </c>
      <c r="DO12" s="25">
        <v>4356.3683798809088</v>
      </c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</row>
    <row r="13" spans="1:145" x14ac:dyDescent="0.25">
      <c r="A13" s="119">
        <f t="shared" si="11"/>
        <v>9.1227374109976844E-3</v>
      </c>
      <c r="B13" s="75">
        <v>5</v>
      </c>
      <c r="C13" s="76" t="s">
        <v>137</v>
      </c>
      <c r="D13" s="88">
        <v>1.0208999999999999E-3</v>
      </c>
      <c r="E13" s="28">
        <f t="shared" si="12"/>
        <v>8.2834331337325352E-3</v>
      </c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>
        <v>2706.6584690383329</v>
      </c>
      <c r="AF13" s="29">
        <v>2614.8628970445302</v>
      </c>
      <c r="AG13" s="29">
        <v>2608.7843193967728</v>
      </c>
      <c r="AH13" s="29">
        <v>2577.7825330893111</v>
      </c>
      <c r="AI13" s="29">
        <v>2547.988707657797</v>
      </c>
      <c r="AJ13" s="29">
        <v>2537.3872117800438</v>
      </c>
      <c r="AK13" s="29">
        <v>2508.5579448691769</v>
      </c>
      <c r="AL13" s="29">
        <v>2716.8727445757841</v>
      </c>
      <c r="AM13" s="29">
        <v>2845.3591203262899</v>
      </c>
      <c r="AN13" s="29">
        <v>2890.933580864159</v>
      </c>
      <c r="AO13" s="29">
        <v>2860.1242171675131</v>
      </c>
      <c r="AP13" s="29">
        <v>2946.6645418913572</v>
      </c>
      <c r="AQ13" s="29">
        <v>3138.205231916003</v>
      </c>
      <c r="AR13" s="29">
        <v>3010.7969806171282</v>
      </c>
      <c r="AS13" s="29">
        <v>3003.167066703762</v>
      </c>
      <c r="AT13" s="29">
        <v>3058.5932344985681</v>
      </c>
      <c r="AU13" s="29">
        <v>2984.711889579954</v>
      </c>
      <c r="AV13" s="29">
        <v>2914.7934699605848</v>
      </c>
      <c r="AW13" s="29">
        <v>2948.8375267235529</v>
      </c>
      <c r="AX13" s="29">
        <v>3077.5249795910122</v>
      </c>
      <c r="AY13" s="29">
        <v>2969.3294030884949</v>
      </c>
      <c r="AZ13" s="29">
        <v>3104.8272475168792</v>
      </c>
      <c r="BA13" s="29">
        <v>3162.202530874134</v>
      </c>
      <c r="BB13" s="29">
        <v>3231.1748548317441</v>
      </c>
      <c r="BC13" s="29">
        <v>3182.701993090157</v>
      </c>
      <c r="BD13" s="29">
        <v>3093.7509998742562</v>
      </c>
      <c r="BE13" s="29">
        <v>3163.1215194520919</v>
      </c>
      <c r="BF13" s="29">
        <v>3059.8590207296952</v>
      </c>
      <c r="BG13" s="29">
        <v>3102.736028054921</v>
      </c>
      <c r="BH13" s="29">
        <v>3277.5811006466861</v>
      </c>
      <c r="BI13" s="29">
        <v>3189.0185538267988</v>
      </c>
      <c r="BJ13" s="29">
        <v>3209.9828532383522</v>
      </c>
      <c r="BK13" s="29">
        <v>3158.589487189804</v>
      </c>
      <c r="BL13" s="29">
        <v>3179.3773267020688</v>
      </c>
      <c r="BM13" s="29">
        <v>3341.8737972225408</v>
      </c>
      <c r="BN13" s="29">
        <v>3466.91486100981</v>
      </c>
      <c r="BO13" s="29">
        <v>3330.091711536465</v>
      </c>
      <c r="BP13" s="29">
        <v>3243.3478010426302</v>
      </c>
      <c r="BQ13" s="29">
        <v>3104.6007436369591</v>
      </c>
      <c r="BR13" s="29">
        <v>3109.7893511664261</v>
      </c>
      <c r="BS13" s="29">
        <v>3165.8845634183058</v>
      </c>
      <c r="BT13" s="29">
        <v>3122.094046904162</v>
      </c>
      <c r="BU13" s="29">
        <v>3135.450383611033</v>
      </c>
      <c r="BV13" s="29">
        <v>3064.0300158105988</v>
      </c>
      <c r="BW13" s="29">
        <v>3137.700836922952</v>
      </c>
      <c r="BX13" s="29">
        <v>3137.8405688330149</v>
      </c>
      <c r="BY13" s="29">
        <v>3126.2949838126528</v>
      </c>
      <c r="BZ13" s="29">
        <v>3214.937824441281</v>
      </c>
      <c r="CA13" s="29">
        <v>3193.1295719062018</v>
      </c>
      <c r="CB13" s="29">
        <v>3197.5884396983229</v>
      </c>
      <c r="CC13" s="29">
        <v>3269.769881873427</v>
      </c>
      <c r="CD13" s="29">
        <v>3259.8231951267849</v>
      </c>
      <c r="CE13" s="29">
        <v>3311.470337839678</v>
      </c>
      <c r="CF13" s="29">
        <v>3373.0568874852529</v>
      </c>
      <c r="CG13" s="29">
        <v>3441.0999581903839</v>
      </c>
      <c r="CH13" s="29">
        <v>3567.1304414855008</v>
      </c>
      <c r="CI13" s="29">
        <v>3901.94353299164</v>
      </c>
      <c r="CJ13" s="29">
        <v>3927.329592256252</v>
      </c>
      <c r="CK13" s="29">
        <v>3965.7214015323998</v>
      </c>
      <c r="CL13" s="29">
        <v>4062.032031851275</v>
      </c>
      <c r="CM13" s="29">
        <v>4009.022312488366</v>
      </c>
      <c r="CN13" s="29">
        <v>3964.3892661812911</v>
      </c>
      <c r="CO13" s="29">
        <v>3878.6182939183282</v>
      </c>
      <c r="CP13" s="29">
        <v>3882.5028274025321</v>
      </c>
      <c r="CQ13" s="29">
        <v>3882.8871104719019</v>
      </c>
      <c r="CR13" s="29">
        <v>3807.9022656361012</v>
      </c>
      <c r="CS13" s="29">
        <v>3897.1807534564591</v>
      </c>
      <c r="CT13" s="29">
        <v>4028.3847520065019</v>
      </c>
      <c r="CU13" s="29">
        <v>4352.5098769411043</v>
      </c>
      <c r="CV13" s="29">
        <v>4518.8227615884734</v>
      </c>
      <c r="CW13" s="29">
        <v>4510.8842358980492</v>
      </c>
      <c r="CX13" s="29">
        <v>3596.1677617913469</v>
      </c>
      <c r="CY13" s="29">
        <v>3151.2709713980612</v>
      </c>
      <c r="CZ13" s="29">
        <v>2997.1225374337</v>
      </c>
      <c r="DA13" s="29">
        <v>3025.4531277541778</v>
      </c>
      <c r="DB13" s="29">
        <v>2965.8988396943032</v>
      </c>
      <c r="DC13" s="29">
        <v>2960.8582756973769</v>
      </c>
      <c r="DD13" s="29">
        <v>2918.5590888405959</v>
      </c>
      <c r="DE13" s="29">
        <v>2912.0188631680971</v>
      </c>
      <c r="DF13" s="29">
        <v>2911.5642916938668</v>
      </c>
      <c r="DG13" s="29">
        <v>2812.7704669792652</v>
      </c>
      <c r="DH13" s="29">
        <v>2896.6818528930321</v>
      </c>
      <c r="DI13" s="29">
        <v>2895.8940127359979</v>
      </c>
      <c r="DJ13" s="29">
        <v>2888.9337111374439</v>
      </c>
      <c r="DK13" s="29">
        <v>2835.4678580883369</v>
      </c>
      <c r="DL13" s="29">
        <v>2824.697984387994</v>
      </c>
      <c r="DM13" s="29">
        <v>2736.164704542135</v>
      </c>
      <c r="DN13" s="29">
        <v>2870.7911925032422</v>
      </c>
      <c r="DO13" s="29">
        <v>2976.2571684639802</v>
      </c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</row>
    <row r="14" spans="1:145" x14ac:dyDescent="0.25">
      <c r="A14" s="119">
        <f t="shared" si="11"/>
        <v>8.5814853735952656E-2</v>
      </c>
      <c r="B14" s="77">
        <v>6</v>
      </c>
      <c r="C14" s="78" t="s">
        <v>146</v>
      </c>
      <c r="D14" s="89">
        <v>9.6033000000000004E-3</v>
      </c>
      <c r="E14" s="32">
        <f t="shared" si="12"/>
        <v>7.7919770215666248E-2</v>
      </c>
      <c r="G14" s="33"/>
      <c r="H14" s="33"/>
      <c r="I14" s="33"/>
      <c r="J14" s="33"/>
      <c r="K14" s="33"/>
      <c r="L14" s="33"/>
      <c r="M14" s="33"/>
      <c r="N14" s="33">
        <v>2324.0088570379598</v>
      </c>
      <c r="O14" s="33">
        <v>2416.3207880297541</v>
      </c>
      <c r="P14" s="33">
        <v>2206.4206726285779</v>
      </c>
      <c r="Q14" s="33">
        <v>2189.5297323933219</v>
      </c>
      <c r="R14" s="33">
        <v>2165.505430579261</v>
      </c>
      <c r="S14" s="33">
        <v>2164.603580730371</v>
      </c>
      <c r="T14" s="33">
        <v>2175.942365758614</v>
      </c>
      <c r="U14" s="33">
        <v>2149.4960229407088</v>
      </c>
      <c r="V14" s="33">
        <v>2178.8125261585201</v>
      </c>
      <c r="W14" s="33">
        <v>2290.637690772217</v>
      </c>
      <c r="X14" s="33">
        <v>2232.5004274109529</v>
      </c>
      <c r="Y14" s="33">
        <v>1981.79187921211</v>
      </c>
      <c r="Z14" s="33">
        <v>1929.595920436208</v>
      </c>
      <c r="AA14" s="33">
        <v>1955.5722116693159</v>
      </c>
      <c r="AB14" s="33">
        <v>1989.210761565389</v>
      </c>
      <c r="AC14" s="33">
        <v>1981.660941584224</v>
      </c>
      <c r="AD14" s="33">
        <v>1991.61618163653</v>
      </c>
      <c r="AE14" s="33">
        <v>2061.456703071492</v>
      </c>
      <c r="AF14" s="33">
        <v>2030.5889706572509</v>
      </c>
      <c r="AG14" s="33">
        <v>2067.1471916461878</v>
      </c>
      <c r="AH14" s="33">
        <v>2097.848186891636</v>
      </c>
      <c r="AI14" s="33">
        <v>2124.80184421697</v>
      </c>
      <c r="AJ14" s="33">
        <v>2169.6355071959729</v>
      </c>
      <c r="AK14" s="33">
        <v>2081.502720176391</v>
      </c>
      <c r="AL14" s="33">
        <v>2054.0237228063629</v>
      </c>
      <c r="AM14" s="33">
        <v>2034.3838602531901</v>
      </c>
      <c r="AN14" s="33">
        <v>2043.8054154886249</v>
      </c>
      <c r="AO14" s="33">
        <v>2041.6716592701539</v>
      </c>
      <c r="AP14" s="33">
        <v>2195.5992305929221</v>
      </c>
      <c r="AQ14" s="33">
        <v>2270.160417881837</v>
      </c>
      <c r="AR14" s="33">
        <v>2218.7966711747008</v>
      </c>
      <c r="AS14" s="33">
        <v>2046.2078035714369</v>
      </c>
      <c r="AT14" s="33">
        <v>1835.8855777532449</v>
      </c>
      <c r="AU14" s="33">
        <v>1818.980459726213</v>
      </c>
      <c r="AV14" s="33">
        <v>1826.7249241151139</v>
      </c>
      <c r="AW14" s="33">
        <v>1806.541515015572</v>
      </c>
      <c r="AX14" s="33">
        <v>1827.7007879150831</v>
      </c>
      <c r="AY14" s="33">
        <v>1903.8885803108869</v>
      </c>
      <c r="AZ14" s="33">
        <v>1882.668525661725</v>
      </c>
      <c r="BA14" s="33">
        <v>1895.649278962841</v>
      </c>
      <c r="BB14" s="33">
        <v>1917.6993955206351</v>
      </c>
      <c r="BC14" s="33">
        <v>1896.2398779274481</v>
      </c>
      <c r="BD14" s="33">
        <v>1860.025380286103</v>
      </c>
      <c r="BE14" s="33">
        <v>1849.2862178135749</v>
      </c>
      <c r="BF14" s="33">
        <v>1818.044186957138</v>
      </c>
      <c r="BG14" s="33">
        <v>1770.58719599648</v>
      </c>
      <c r="BH14" s="33">
        <v>1794.835806532654</v>
      </c>
      <c r="BI14" s="33">
        <v>1799.0212101921561</v>
      </c>
      <c r="BJ14" s="33">
        <v>1858.533030159748</v>
      </c>
      <c r="BK14" s="33">
        <v>1938.3413819700729</v>
      </c>
      <c r="BL14" s="33">
        <v>1964.222536005946</v>
      </c>
      <c r="BM14" s="33">
        <v>1956.7879121294161</v>
      </c>
      <c r="BN14" s="33">
        <v>1972.9444627424141</v>
      </c>
      <c r="BO14" s="33">
        <v>1999.8947509069931</v>
      </c>
      <c r="BP14" s="33">
        <v>1974.9580446610501</v>
      </c>
      <c r="BQ14" s="33">
        <v>1972.820997666061</v>
      </c>
      <c r="BR14" s="33">
        <v>1992.578157970748</v>
      </c>
      <c r="BS14" s="33">
        <v>1933.3869053053841</v>
      </c>
      <c r="BT14" s="33">
        <v>1959.061776418735</v>
      </c>
      <c r="BU14" s="33">
        <v>1915.445609746442</v>
      </c>
      <c r="BV14" s="33">
        <v>1936.6991751579251</v>
      </c>
      <c r="BW14" s="33">
        <v>2028.59375805743</v>
      </c>
      <c r="BX14" s="33">
        <v>2036.775082183485</v>
      </c>
      <c r="BY14" s="33">
        <v>2035.815545785985</v>
      </c>
      <c r="BZ14" s="33">
        <v>2082.3874269204439</v>
      </c>
      <c r="CA14" s="33">
        <v>2090.604231450011</v>
      </c>
      <c r="CB14" s="33">
        <v>2100.927263193948</v>
      </c>
      <c r="CC14" s="33">
        <v>2088.456698211271</v>
      </c>
      <c r="CD14" s="33">
        <v>2088.051353872313</v>
      </c>
      <c r="CE14" s="33">
        <v>2122.9901704946269</v>
      </c>
      <c r="CF14" s="33">
        <v>2130.0465908835531</v>
      </c>
      <c r="CG14" s="33">
        <v>2111.8477441541372</v>
      </c>
      <c r="CH14" s="33">
        <v>2146.6660649700411</v>
      </c>
      <c r="CI14" s="33">
        <v>2246.253436860286</v>
      </c>
      <c r="CJ14" s="33">
        <v>2270.791161131649</v>
      </c>
      <c r="CK14" s="33">
        <v>2245.661837539174</v>
      </c>
      <c r="CL14" s="33">
        <v>2289.969708387534</v>
      </c>
      <c r="CM14" s="33">
        <v>2289.157632230897</v>
      </c>
      <c r="CN14" s="33">
        <v>2248.879954881766</v>
      </c>
      <c r="CO14" s="33">
        <v>2233.602269061862</v>
      </c>
      <c r="CP14" s="33">
        <v>2213.4759617877421</v>
      </c>
      <c r="CQ14" s="33">
        <v>2199.0180398147509</v>
      </c>
      <c r="CR14" s="33">
        <v>2165.047118669499</v>
      </c>
      <c r="CS14" s="33">
        <v>2174.4770959805942</v>
      </c>
      <c r="CT14" s="33">
        <v>2460.0835833740198</v>
      </c>
      <c r="CU14" s="33">
        <v>2517.441182201223</v>
      </c>
      <c r="CV14" s="33">
        <v>2505.2285932466611</v>
      </c>
      <c r="CW14" s="33">
        <v>2434.4680916296279</v>
      </c>
      <c r="CX14" s="33">
        <v>2419.2538735436092</v>
      </c>
      <c r="CY14" s="33">
        <v>2450.5099622580819</v>
      </c>
      <c r="CZ14" s="33">
        <v>2405.1436611834301</v>
      </c>
      <c r="DA14" s="33">
        <v>2402.9640066597722</v>
      </c>
      <c r="DB14" s="33">
        <v>2395.33752220519</v>
      </c>
      <c r="DC14" s="33">
        <v>2352.395620947048</v>
      </c>
      <c r="DD14" s="33">
        <v>2358.827394956656</v>
      </c>
      <c r="DE14" s="33">
        <v>2359.5100403452011</v>
      </c>
      <c r="DF14" s="33">
        <v>2411.8858826333658</v>
      </c>
      <c r="DG14" s="33">
        <v>2418.9571111126088</v>
      </c>
      <c r="DH14" s="33">
        <v>2363.5391920798311</v>
      </c>
      <c r="DI14" s="33">
        <v>2412.9464408720301</v>
      </c>
      <c r="DJ14" s="33">
        <v>2398.608062697379</v>
      </c>
      <c r="DK14" s="33">
        <v>2407.1462902072631</v>
      </c>
      <c r="DL14" s="33">
        <v>2388.37579702526</v>
      </c>
      <c r="DM14" s="33">
        <v>2397.8945956032499</v>
      </c>
      <c r="DN14" s="33">
        <v>2387.5986194843272</v>
      </c>
      <c r="DO14" s="33">
        <v>2381.81953913493</v>
      </c>
      <c r="DP14" s="33"/>
      <c r="DQ14" s="33"/>
      <c r="DR14" s="33"/>
      <c r="DS14" s="33"/>
      <c r="DT14" s="33"/>
      <c r="DU14" s="33"/>
      <c r="DV14" s="33"/>
      <c r="DW14" s="33"/>
      <c r="DX14" s="33"/>
      <c r="DY14" s="33"/>
      <c r="DZ14" s="33"/>
      <c r="EA14" s="33"/>
      <c r="EB14" s="33"/>
      <c r="EC14" s="33"/>
      <c r="ED14" s="33"/>
      <c r="EE14" s="33"/>
      <c r="EF14" s="33"/>
      <c r="EG14" s="33"/>
      <c r="EH14" s="33"/>
      <c r="EI14" s="33"/>
      <c r="EJ14" s="33"/>
      <c r="EK14" s="33"/>
      <c r="EL14" s="33"/>
    </row>
    <row r="15" spans="1:145" x14ac:dyDescent="0.25">
      <c r="A15" s="119">
        <f t="shared" si="11"/>
        <v>1.8099818420977385E-2</v>
      </c>
      <c r="B15" s="79">
        <v>7</v>
      </c>
      <c r="C15" s="80" t="s">
        <v>161</v>
      </c>
      <c r="D15" s="90">
        <v>2.0255E-3</v>
      </c>
      <c r="E15" s="36">
        <f t="shared" si="12"/>
        <v>1.6434610453888974E-2</v>
      </c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>
        <v>801.53317597072544</v>
      </c>
      <c r="AK15" s="37">
        <v>808.21821009784446</v>
      </c>
      <c r="AL15" s="37"/>
      <c r="AM15" s="37">
        <v>798.01104293583194</v>
      </c>
      <c r="AN15" s="37">
        <v>794.16076086358953</v>
      </c>
      <c r="AO15" s="37"/>
      <c r="AP15" s="37">
        <v>810.61438677855278</v>
      </c>
      <c r="AQ15" s="37"/>
      <c r="AR15" s="37">
        <v>809.75414832252636</v>
      </c>
      <c r="AS15" s="37">
        <v>776.87721324425809</v>
      </c>
      <c r="AT15" s="37">
        <v>753.95051633511287</v>
      </c>
      <c r="AU15" s="37"/>
      <c r="AV15" s="37">
        <v>752.35523222529127</v>
      </c>
      <c r="AW15" s="37">
        <v>750.56235282016974</v>
      </c>
      <c r="AX15" s="37">
        <v>743.8405831294541</v>
      </c>
      <c r="AY15" s="37">
        <v>733.02006467229603</v>
      </c>
      <c r="AZ15" s="37"/>
      <c r="BA15" s="37">
        <v>741.11804837495833</v>
      </c>
      <c r="BB15" s="37">
        <v>761.30045644445454</v>
      </c>
      <c r="BC15" s="37"/>
      <c r="BD15" s="37">
        <v>773.75845602259517</v>
      </c>
      <c r="BE15" s="37">
        <v>779.1254820499887</v>
      </c>
      <c r="BF15" s="37"/>
      <c r="BG15" s="37">
        <v>785.38564149120384</v>
      </c>
      <c r="BH15" s="37">
        <v>777.33506764422623</v>
      </c>
      <c r="BI15" s="37"/>
      <c r="BJ15" s="37">
        <v>778.55189311387289</v>
      </c>
      <c r="BK15" s="37">
        <v>792.45421801775421</v>
      </c>
      <c r="BL15" s="37">
        <v>773.15512573320814</v>
      </c>
      <c r="BM15" s="37">
        <v>771.60589620877715</v>
      </c>
      <c r="BN15" s="37">
        <v>768.36920376840908</v>
      </c>
      <c r="BO15" s="37">
        <v>763.94847674561493</v>
      </c>
      <c r="BP15" s="37">
        <v>764.60444989076393</v>
      </c>
      <c r="BQ15" s="37">
        <v>775.82110468150825</v>
      </c>
      <c r="BR15" s="37">
        <v>771.7925566618469</v>
      </c>
      <c r="BS15" s="37">
        <v>768.97298972379224</v>
      </c>
      <c r="BT15" s="37">
        <v>774.40321749501891</v>
      </c>
      <c r="BU15" s="37">
        <v>761.10471165869092</v>
      </c>
      <c r="BV15" s="37">
        <v>760.76625496545523</v>
      </c>
      <c r="BW15" s="37">
        <v>759.68668375199672</v>
      </c>
      <c r="BX15" s="37">
        <v>773.31048723521019</v>
      </c>
      <c r="BY15" s="37">
        <v>760.43768581385416</v>
      </c>
      <c r="BZ15" s="37">
        <v>756.42756318056252</v>
      </c>
      <c r="CA15" s="37">
        <v>754.87063858413524</v>
      </c>
      <c r="CB15" s="37">
        <v>757.31438950463007</v>
      </c>
      <c r="CC15" s="37">
        <v>764.5107451332151</v>
      </c>
      <c r="CD15" s="37">
        <v>778.16713051375507</v>
      </c>
      <c r="CE15" s="37">
        <v>793.17292467719881</v>
      </c>
      <c r="CF15" s="37">
        <v>808.10804909658202</v>
      </c>
      <c r="CG15" s="37">
        <v>819.76576967162293</v>
      </c>
      <c r="CH15" s="37">
        <v>817.79839035376767</v>
      </c>
      <c r="CI15" s="37">
        <v>810.32688563239151</v>
      </c>
      <c r="CJ15" s="37">
        <v>817.32793856931949</v>
      </c>
      <c r="CK15" s="37">
        <v>824.98424667511301</v>
      </c>
      <c r="CL15" s="37">
        <v>827.65195246823816</v>
      </c>
      <c r="CM15" s="37">
        <v>836.31105799681052</v>
      </c>
      <c r="CN15" s="37">
        <v>850.85230688290244</v>
      </c>
      <c r="CO15" s="37">
        <v>861.13875770806055</v>
      </c>
      <c r="CP15" s="37">
        <v>864.25241208681484</v>
      </c>
      <c r="CQ15" s="37">
        <v>886.48082091524918</v>
      </c>
      <c r="CR15" s="37">
        <v>903.69319757898506</v>
      </c>
      <c r="CS15" s="37">
        <v>920.90408819645154</v>
      </c>
      <c r="CT15" s="37">
        <v>932.91383149056696</v>
      </c>
      <c r="CU15" s="37">
        <v>936.3049526395414</v>
      </c>
      <c r="CV15" s="37">
        <v>946.0292994966884</v>
      </c>
      <c r="CW15" s="37">
        <v>944.00694750690502</v>
      </c>
      <c r="CX15" s="37">
        <v>941.18135658659662</v>
      </c>
      <c r="CY15" s="37">
        <v>943.48771041450038</v>
      </c>
      <c r="CZ15" s="37">
        <v>947.34525062766875</v>
      </c>
      <c r="DA15" s="37">
        <v>946.65866608441149</v>
      </c>
      <c r="DB15" s="37">
        <v>945.8915588574306</v>
      </c>
      <c r="DC15" s="37">
        <v>937.5033754004719</v>
      </c>
      <c r="DD15" s="37">
        <v>936.30458569864811</v>
      </c>
      <c r="DE15" s="37">
        <v>938.33325038877774</v>
      </c>
      <c r="DF15" s="37">
        <v>949.24061242429491</v>
      </c>
      <c r="DG15" s="37">
        <v>953.00643780916994</v>
      </c>
      <c r="DH15" s="37">
        <v>949.68223734037645</v>
      </c>
      <c r="DI15" s="37">
        <v>952.61180022103758</v>
      </c>
      <c r="DJ15" s="37">
        <v>961.39592394716556</v>
      </c>
      <c r="DK15" s="37">
        <v>967.95772831250974</v>
      </c>
      <c r="DL15" s="37">
        <v>975.14700059240909</v>
      </c>
      <c r="DM15" s="37">
        <v>979.08668450042319</v>
      </c>
      <c r="DN15" s="37">
        <v>986.54347510537559</v>
      </c>
      <c r="DO15" s="37">
        <v>989.20101624296194</v>
      </c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</row>
    <row r="16" spans="1:145" x14ac:dyDescent="0.25">
      <c r="A16" s="119">
        <f t="shared" si="11"/>
        <v>2.5908073832604163E-2</v>
      </c>
      <c r="B16" s="79">
        <v>8</v>
      </c>
      <c r="C16" s="80" t="s">
        <v>166</v>
      </c>
      <c r="D16" s="90">
        <v>2.8993000000000001E-3</v>
      </c>
      <c r="E16" s="36">
        <f t="shared" si="12"/>
        <v>2.3524495723999159E-2</v>
      </c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>
        <v>502.42606030200051</v>
      </c>
      <c r="BP16" s="37">
        <v>505.39055684699412</v>
      </c>
      <c r="BQ16" s="37">
        <v>518.05361740315891</v>
      </c>
      <c r="BR16" s="37">
        <v>510.89961135130119</v>
      </c>
      <c r="BS16" s="37">
        <v>514.95082478440361</v>
      </c>
      <c r="BT16" s="37">
        <v>523.44276471119383</v>
      </c>
      <c r="BU16" s="37">
        <v>506.11855016619648</v>
      </c>
      <c r="BV16" s="37">
        <v>490.1460324180494</v>
      </c>
      <c r="BW16" s="37">
        <v>489.50741334326142</v>
      </c>
      <c r="BX16" s="37">
        <v>500.19786804358421</v>
      </c>
      <c r="BY16" s="37">
        <v>495.58006002122278</v>
      </c>
      <c r="BZ16" s="37">
        <v>497.81078089336108</v>
      </c>
      <c r="CA16" s="37">
        <v>497.74297386358012</v>
      </c>
      <c r="CB16" s="37">
        <v>496.06984901111991</v>
      </c>
      <c r="CC16" s="37">
        <v>495.30438389324303</v>
      </c>
      <c r="CD16" s="37">
        <v>503.39986534004731</v>
      </c>
      <c r="CE16" s="37">
        <v>511.35910840893922</v>
      </c>
      <c r="CF16" s="37">
        <v>507.6438421985813</v>
      </c>
      <c r="CG16" s="37">
        <v>525.54252596665924</v>
      </c>
      <c r="CH16" s="37">
        <v>543.05083081625412</v>
      </c>
      <c r="CI16" s="37">
        <v>544.5386922160219</v>
      </c>
      <c r="CJ16" s="37">
        <v>536.52802107686102</v>
      </c>
      <c r="CK16" s="37">
        <v>541.27931715458158</v>
      </c>
      <c r="CL16" s="37">
        <v>544.27257599696941</v>
      </c>
      <c r="CM16" s="37">
        <v>537.71018760600896</v>
      </c>
      <c r="CN16" s="37">
        <v>543.22176182042699</v>
      </c>
      <c r="CO16" s="37">
        <v>559.43152936668673</v>
      </c>
      <c r="CP16" s="37">
        <v>563.40946439434731</v>
      </c>
      <c r="CQ16" s="37">
        <v>567.91604584745244</v>
      </c>
      <c r="CR16" s="37">
        <v>580.89487059696592</v>
      </c>
      <c r="CS16" s="37">
        <v>577.10848029248382</v>
      </c>
      <c r="CT16" s="37">
        <v>583.21980171950224</v>
      </c>
      <c r="CU16" s="37">
        <v>590.83873212975743</v>
      </c>
      <c r="CV16" s="37">
        <v>594.59635147195445</v>
      </c>
      <c r="CW16" s="37">
        <v>591.90746641697228</v>
      </c>
      <c r="CX16" s="37">
        <v>583.2854087509902</v>
      </c>
      <c r="CY16" s="37">
        <v>580.71098669808418</v>
      </c>
      <c r="CZ16" s="37">
        <v>587.56980006848858</v>
      </c>
      <c r="DA16" s="37">
        <v>586.0668681665104</v>
      </c>
      <c r="DB16" s="37">
        <v>589.29567417534815</v>
      </c>
      <c r="DC16" s="37">
        <v>574.13744857614756</v>
      </c>
      <c r="DD16" s="37">
        <v>576.23509267937982</v>
      </c>
      <c r="DE16" s="37">
        <v>573.8987657376432</v>
      </c>
      <c r="DF16" s="37">
        <v>577.75086664171431</v>
      </c>
      <c r="DG16" s="37">
        <v>576.26355447935077</v>
      </c>
      <c r="DH16" s="37">
        <v>576.84579494639331</v>
      </c>
      <c r="DI16" s="37">
        <v>573.28595126820744</v>
      </c>
      <c r="DJ16" s="37">
        <v>571.2019387811589</v>
      </c>
      <c r="DK16" s="37">
        <v>563.22529977334716</v>
      </c>
      <c r="DL16" s="37">
        <v>580.1320252950245</v>
      </c>
      <c r="DM16" s="37">
        <v>579.8861635831563</v>
      </c>
      <c r="DN16" s="37">
        <v>578.65390365937333</v>
      </c>
      <c r="DO16" s="37">
        <v>583.03290679504244</v>
      </c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</row>
    <row r="17" spans="1:142" x14ac:dyDescent="0.25">
      <c r="A17" s="119">
        <f t="shared" si="11"/>
        <v>9.3443496039575663E-3</v>
      </c>
      <c r="B17" s="79">
        <v>9</v>
      </c>
      <c r="C17" s="80" t="s">
        <v>216</v>
      </c>
      <c r="D17" s="90">
        <v>1.0457000000000001E-3</v>
      </c>
      <c r="E17" s="36">
        <f t="shared" si="12"/>
        <v>8.4846567028544553E-3</v>
      </c>
      <c r="G17" s="37"/>
      <c r="H17" s="37"/>
      <c r="I17" s="37">
        <v>1192.842488265886</v>
      </c>
      <c r="J17" s="37">
        <v>775.10664744023916</v>
      </c>
      <c r="K17" s="37">
        <v>598.53573141910886</v>
      </c>
      <c r="L17" s="37">
        <v>373.57472326417502</v>
      </c>
      <c r="M17" s="37">
        <v>190.3775908810039</v>
      </c>
      <c r="N17" s="37">
        <v>220.53406581831911</v>
      </c>
      <c r="O17" s="37">
        <v>253.04803145494</v>
      </c>
      <c r="P17" s="37">
        <v>267.79061081654947</v>
      </c>
      <c r="Q17" s="37">
        <v>291.15130905600648</v>
      </c>
      <c r="R17" s="37">
        <v>293.35973317834993</v>
      </c>
      <c r="S17" s="37">
        <v>358.73685711989373</v>
      </c>
      <c r="T17" s="37">
        <v>326.83420768728581</v>
      </c>
      <c r="U17" s="37">
        <v>312.00484573954827</v>
      </c>
      <c r="V17" s="37">
        <v>274.61599370968582</v>
      </c>
      <c r="W17" s="37">
        <v>265.91046744051761</v>
      </c>
      <c r="X17" s="37">
        <v>186.63741585896929</v>
      </c>
      <c r="Y17" s="37">
        <v>139.24918187335641</v>
      </c>
      <c r="Z17" s="37">
        <v>125.602373497546</v>
      </c>
      <c r="AA17" s="37">
        <v>150.33085560645381</v>
      </c>
      <c r="AB17" s="37">
        <v>185.58358537647081</v>
      </c>
      <c r="AC17" s="37">
        <v>235.3085789177556</v>
      </c>
      <c r="AD17" s="37">
        <v>306.51990364864008</v>
      </c>
      <c r="AE17" s="37">
        <v>483.26844887425989</v>
      </c>
      <c r="AF17" s="37">
        <v>578.22648601767787</v>
      </c>
      <c r="AG17" s="37">
        <v>932.72126782325586</v>
      </c>
      <c r="AH17" s="37">
        <v>950.76460140215738</v>
      </c>
      <c r="AI17" s="37">
        <v>719.83672995333814</v>
      </c>
      <c r="AJ17" s="37">
        <v>431.75617395186498</v>
      </c>
      <c r="AK17" s="37">
        <v>335.06489102881773</v>
      </c>
      <c r="AL17" s="37">
        <v>334.09503436539461</v>
      </c>
      <c r="AM17" s="37">
        <v>372.29718095397169</v>
      </c>
      <c r="AN17" s="37">
        <v>474.54723609362009</v>
      </c>
      <c r="AO17" s="37">
        <v>729.52274940006373</v>
      </c>
      <c r="AP17" s="37">
        <v>837.1218557577248</v>
      </c>
      <c r="AQ17" s="37">
        <v>852.60128357223459</v>
      </c>
      <c r="AR17" s="37">
        <v>985.50357871512233</v>
      </c>
      <c r="AS17" s="37">
        <v>1352.7901286772651</v>
      </c>
      <c r="AT17" s="37">
        <v>1003.0175635679579</v>
      </c>
      <c r="AU17" s="37">
        <v>715.78430166856447</v>
      </c>
      <c r="AV17" s="37">
        <v>428.28443702762291</v>
      </c>
      <c r="AW17" s="37">
        <v>300.3635984202449</v>
      </c>
      <c r="AX17" s="37">
        <v>316.67287727468789</v>
      </c>
      <c r="AY17" s="37">
        <v>383.28146249118481</v>
      </c>
      <c r="AZ17" s="37">
        <v>398.98025853629952</v>
      </c>
      <c r="BA17" s="37">
        <v>432.59275939069119</v>
      </c>
      <c r="BB17" s="37">
        <v>477.32099457008582</v>
      </c>
      <c r="BC17" s="37">
        <v>571.64259051096769</v>
      </c>
      <c r="BD17" s="37">
        <v>703.24126400522948</v>
      </c>
      <c r="BE17" s="37">
        <v>822.16627477736563</v>
      </c>
      <c r="BF17" s="37">
        <v>898.65047904617461</v>
      </c>
      <c r="BG17" s="37">
        <v>626.46747210064916</v>
      </c>
      <c r="BH17" s="37">
        <v>389.76843648112452</v>
      </c>
      <c r="BI17" s="37">
        <v>329.27724642338387</v>
      </c>
      <c r="BJ17" s="37">
        <v>275.19354214842508</v>
      </c>
      <c r="BK17" s="37">
        <v>306.85744808803912</v>
      </c>
      <c r="BL17" s="37">
        <v>296.93805025906948</v>
      </c>
      <c r="BM17" s="37">
        <v>314.34878700571483</v>
      </c>
      <c r="BN17" s="54">
        <v>365.43615437379162</v>
      </c>
      <c r="BO17" s="37">
        <v>623.58251846119242</v>
      </c>
      <c r="BP17" s="37">
        <v>767.66669829512955</v>
      </c>
      <c r="BQ17" s="37">
        <v>1047.588210063378</v>
      </c>
      <c r="BR17" s="37">
        <v>916.18575900554583</v>
      </c>
      <c r="BS17" s="37">
        <v>715.47990972130231</v>
      </c>
      <c r="BT17" s="37">
        <v>458.56088615091551</v>
      </c>
      <c r="BU17" s="37">
        <v>353.89637258506878</v>
      </c>
      <c r="BV17" s="37">
        <v>334.54951412128781</v>
      </c>
      <c r="BW17" s="37">
        <v>409.81593665231088</v>
      </c>
      <c r="BX17" s="37">
        <v>444.56370980313261</v>
      </c>
      <c r="BY17" s="37">
        <v>496.93497464272662</v>
      </c>
      <c r="BZ17" s="37">
        <v>610.31860931793381</v>
      </c>
      <c r="CA17" s="37">
        <v>1137.086853952718</v>
      </c>
      <c r="CB17" s="37">
        <v>1254.152491282503</v>
      </c>
      <c r="CC17" s="37">
        <v>1524.9775330439791</v>
      </c>
      <c r="CD17" s="37">
        <v>1553.911246498724</v>
      </c>
      <c r="CE17" s="37">
        <v>1194.200937910829</v>
      </c>
      <c r="CF17" s="37">
        <v>822.62641715241477</v>
      </c>
      <c r="CG17" s="37">
        <v>657.88589770453029</v>
      </c>
      <c r="CH17" s="37">
        <v>663.93470853200915</v>
      </c>
      <c r="CI17" s="37">
        <v>681.65367594059239</v>
      </c>
      <c r="CJ17" s="37">
        <v>716.46791569976222</v>
      </c>
      <c r="CK17" s="37">
        <v>1005.087159110894</v>
      </c>
      <c r="CL17" s="37">
        <v>1180.6330870802381</v>
      </c>
      <c r="CM17" s="37">
        <v>1449.445757967088</v>
      </c>
      <c r="CN17" s="37">
        <v>1422.8119358406971</v>
      </c>
      <c r="CO17" s="37">
        <v>1528.5998063366289</v>
      </c>
      <c r="CP17" s="37">
        <v>1427.138765486812</v>
      </c>
      <c r="CQ17" s="37">
        <v>1053.408709994327</v>
      </c>
      <c r="CR17" s="37">
        <v>708.94191312614498</v>
      </c>
      <c r="CS17" s="37">
        <v>504.55208786392029</v>
      </c>
      <c r="CT17" s="37">
        <v>475.62006538264183</v>
      </c>
      <c r="CU17" s="37">
        <v>467.21205315943803</v>
      </c>
      <c r="CV17" s="37">
        <v>483.53657511595941</v>
      </c>
      <c r="CW17" s="37">
        <v>480.58528361444979</v>
      </c>
      <c r="CX17" s="37">
        <v>547.56970339792213</v>
      </c>
      <c r="CY17" s="37">
        <v>781.20232670183032</v>
      </c>
      <c r="CZ17" s="37">
        <v>914.1802525195817</v>
      </c>
      <c r="DA17" s="37">
        <v>1246.232254111429</v>
      </c>
      <c r="DB17" s="37">
        <v>1189.8458872494</v>
      </c>
      <c r="DC17" s="37">
        <v>1077.9032249259581</v>
      </c>
      <c r="DD17" s="37">
        <v>811.49011756737218</v>
      </c>
      <c r="DE17" s="37">
        <v>656.08320180212286</v>
      </c>
      <c r="DF17" s="37">
        <v>610.77645649022338</v>
      </c>
      <c r="DG17" s="37">
        <v>604.34320852364874</v>
      </c>
      <c r="DH17" s="37">
        <v>672.31766485050412</v>
      </c>
      <c r="DI17" s="37">
        <v>994.4952125559804</v>
      </c>
      <c r="DJ17" s="37">
        <v>1178.909343440198</v>
      </c>
      <c r="DK17" s="37">
        <v>1550.9354485722019</v>
      </c>
      <c r="DL17" s="37">
        <v>1914.350584976652</v>
      </c>
      <c r="DM17" s="37">
        <v>2162.6444937876149</v>
      </c>
      <c r="DN17" s="37">
        <v>1637.542878212812</v>
      </c>
      <c r="DO17" s="37">
        <v>1486.326288738971</v>
      </c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</row>
    <row r="18" spans="1:142" x14ac:dyDescent="0.25">
      <c r="A18" s="119">
        <f t="shared" si="11"/>
        <v>8.7679791827514238E-3</v>
      </c>
      <c r="B18" s="81">
        <v>10</v>
      </c>
      <c r="C18" s="82" t="s">
        <v>227</v>
      </c>
      <c r="D18" s="91">
        <v>9.812E-4</v>
      </c>
      <c r="E18" s="40">
        <f t="shared" si="12"/>
        <v>7.961313146065593E-3</v>
      </c>
      <c r="G18" s="41"/>
      <c r="H18" s="41"/>
      <c r="I18" s="41">
        <v>402.71578048408549</v>
      </c>
      <c r="J18" s="41">
        <v>350.5381762845397</v>
      </c>
      <c r="K18" s="41">
        <v>354.04064414012282</v>
      </c>
      <c r="L18" s="41">
        <v>411.21322164128082</v>
      </c>
      <c r="M18" s="41">
        <v>413.9324023895403</v>
      </c>
      <c r="N18" s="41">
        <v>422.04650939956991</v>
      </c>
      <c r="O18" s="41">
        <v>430.30378451671288</v>
      </c>
      <c r="P18" s="41">
        <v>468.99625538535918</v>
      </c>
      <c r="Q18" s="41">
        <v>497.73149769316831</v>
      </c>
      <c r="R18" s="41">
        <v>531.65937223644517</v>
      </c>
      <c r="S18" s="41">
        <v>692.50665251638645</v>
      </c>
      <c r="T18" s="41">
        <v>393.69107998747859</v>
      </c>
      <c r="U18" s="41">
        <v>364.2852915752099</v>
      </c>
      <c r="V18" s="41">
        <v>355.5402447737672</v>
      </c>
      <c r="W18" s="41">
        <v>413.39965257059657</v>
      </c>
      <c r="X18" s="41">
        <v>422.18370347780029</v>
      </c>
      <c r="Y18" s="41">
        <v>385.27839582822548</v>
      </c>
      <c r="Z18" s="41">
        <v>379.98185381384349</v>
      </c>
      <c r="AA18" s="41">
        <v>407.89923387681392</v>
      </c>
      <c r="AB18" s="41">
        <v>510.09718935270308</v>
      </c>
      <c r="AC18" s="41">
        <v>633.65591095899322</v>
      </c>
      <c r="AD18" s="41">
        <v>796.52965581512092</v>
      </c>
      <c r="AE18" s="41"/>
      <c r="AF18" s="41"/>
      <c r="AG18" s="41">
        <v>422.51739353350348</v>
      </c>
      <c r="AH18" s="41">
        <v>381.84769089616702</v>
      </c>
      <c r="AI18" s="41">
        <v>373.01239025481499</v>
      </c>
      <c r="AJ18" s="41">
        <v>378.10061797571399</v>
      </c>
      <c r="AK18" s="41">
        <v>384.45616095495848</v>
      </c>
      <c r="AL18" s="41">
        <v>428.08147695617151</v>
      </c>
      <c r="AM18" s="41">
        <v>418.29987886058439</v>
      </c>
      <c r="AN18" s="41">
        <v>442.12112129505812</v>
      </c>
      <c r="AO18" s="41">
        <v>464.07470645191432</v>
      </c>
      <c r="AP18" s="41">
        <v>467.33881696081141</v>
      </c>
      <c r="AQ18" s="41">
        <v>469.99125834897529</v>
      </c>
      <c r="AR18" s="41"/>
      <c r="AS18" s="41">
        <v>415.87545967596981</v>
      </c>
      <c r="AT18" s="41">
        <v>478.54798528165082</v>
      </c>
      <c r="AU18" s="41">
        <v>447.36080657131419</v>
      </c>
      <c r="AV18" s="41">
        <v>442.35157347738817</v>
      </c>
      <c r="AW18" s="41">
        <v>446.41331836536602</v>
      </c>
      <c r="AX18" s="41">
        <v>467.87491614423271</v>
      </c>
      <c r="AY18" s="41">
        <v>521.72604825177643</v>
      </c>
      <c r="AZ18" s="41">
        <v>608.03514391901331</v>
      </c>
      <c r="BA18" s="41">
        <v>710.8717246931875</v>
      </c>
      <c r="BB18" s="41"/>
      <c r="BC18" s="41"/>
      <c r="BD18" s="41"/>
      <c r="BE18" s="41">
        <v>510.50059364370048</v>
      </c>
      <c r="BF18" s="41">
        <v>490.95732248674</v>
      </c>
      <c r="BG18" s="41">
        <v>445.83181887399462</v>
      </c>
      <c r="BH18" s="41">
        <v>454.08658425527301</v>
      </c>
      <c r="BI18" s="41">
        <v>463.98950192550348</v>
      </c>
      <c r="BJ18" s="41">
        <v>484.53215187150261</v>
      </c>
      <c r="BK18" s="41">
        <v>583.3924600950678</v>
      </c>
      <c r="BL18" s="41">
        <v>627.72764186441952</v>
      </c>
      <c r="BM18" s="41">
        <v>667.61448068799928</v>
      </c>
      <c r="BN18" s="41"/>
      <c r="BO18" s="41"/>
      <c r="BP18" s="41"/>
      <c r="BQ18" s="41">
        <v>640.32604235593658</v>
      </c>
      <c r="BR18" s="41">
        <v>575.48661888429615</v>
      </c>
      <c r="BS18" s="41">
        <v>523.75951864463559</v>
      </c>
      <c r="BT18" s="41">
        <v>514.35301182400872</v>
      </c>
      <c r="BU18" s="41">
        <v>534.9726522664314</v>
      </c>
      <c r="BV18" s="41">
        <v>554.39171778560774</v>
      </c>
      <c r="BW18" s="41">
        <v>601.72622960848719</v>
      </c>
      <c r="BX18" s="41">
        <v>632.66946534792726</v>
      </c>
      <c r="BY18" s="41">
        <v>688.94080475732551</v>
      </c>
      <c r="BZ18" s="41">
        <v>734.04854826839153</v>
      </c>
      <c r="CA18" s="41">
        <v>867.99823287784704</v>
      </c>
      <c r="CB18" s="41">
        <v>792.98396753810084</v>
      </c>
      <c r="CC18" s="41">
        <v>687.97149381892837</v>
      </c>
      <c r="CD18" s="41">
        <v>671.39243355955432</v>
      </c>
      <c r="CE18" s="41">
        <v>598.43261777325893</v>
      </c>
      <c r="CF18" s="41">
        <v>606.21161463156568</v>
      </c>
      <c r="CG18" s="41">
        <v>603.52036535304944</v>
      </c>
      <c r="CH18" s="41">
        <v>603.05363342527471</v>
      </c>
      <c r="CI18" s="41">
        <v>633.35405569297586</v>
      </c>
      <c r="CJ18" s="41">
        <v>687.54218877479877</v>
      </c>
      <c r="CK18" s="41">
        <v>740.83814865931913</v>
      </c>
      <c r="CL18" s="41">
        <v>836.62133526124944</v>
      </c>
      <c r="CM18" s="41">
        <v>910.48533687155089</v>
      </c>
      <c r="CN18" s="41">
        <v>813.94123543742887</v>
      </c>
      <c r="CO18" s="41">
        <v>714.22476423411649</v>
      </c>
      <c r="CP18" s="41">
        <v>675.15025838286954</v>
      </c>
      <c r="CQ18" s="41">
        <v>655.81857734816163</v>
      </c>
      <c r="CR18" s="41">
        <v>617.60341210439094</v>
      </c>
      <c r="CS18" s="41">
        <v>596.1333802775174</v>
      </c>
      <c r="CT18" s="41">
        <v>627.67234558814141</v>
      </c>
      <c r="CU18" s="41">
        <v>677.57021540312326</v>
      </c>
      <c r="CV18" s="41">
        <v>795.38873052094152</v>
      </c>
      <c r="CW18" s="41">
        <v>963.62966164527143</v>
      </c>
      <c r="CX18" s="41">
        <v>1048.454068109467</v>
      </c>
      <c r="CY18" s="41"/>
      <c r="CZ18" s="41"/>
      <c r="DA18" s="41">
        <v>746.43136269095157</v>
      </c>
      <c r="DB18" s="41">
        <v>657.01290377743999</v>
      </c>
      <c r="DC18" s="41">
        <v>662.07329037756597</v>
      </c>
      <c r="DD18" s="41">
        <v>663.24343130281841</v>
      </c>
      <c r="DE18" s="41">
        <v>645.6555399521219</v>
      </c>
      <c r="DF18" s="41">
        <v>699.69815752551801</v>
      </c>
      <c r="DG18" s="41">
        <v>770.27493995425846</v>
      </c>
      <c r="DH18" s="41">
        <v>870.39788448417073</v>
      </c>
      <c r="DI18" s="41">
        <v>970.99253003817728</v>
      </c>
      <c r="DJ18" s="41">
        <v>1046.7391710733259</v>
      </c>
      <c r="DK18" s="41"/>
      <c r="DL18" s="41">
        <v>845.98155197686742</v>
      </c>
      <c r="DM18" s="41">
        <v>792.94266666173405</v>
      </c>
      <c r="DN18" s="41">
        <v>740.90679622294579</v>
      </c>
      <c r="DO18" s="41">
        <v>718.96808816687212</v>
      </c>
      <c r="DP18" s="41"/>
      <c r="DQ18" s="41"/>
      <c r="DR18" s="41"/>
      <c r="DS18" s="41"/>
      <c r="DT18" s="41"/>
      <c r="DU18" s="41"/>
      <c r="DV18" s="41"/>
      <c r="DW18" s="41"/>
      <c r="DX18" s="41"/>
      <c r="DY18" s="41"/>
      <c r="DZ18" s="41"/>
      <c r="EA18" s="41"/>
      <c r="EB18" s="41"/>
      <c r="EC18" s="41"/>
      <c r="ED18" s="41"/>
      <c r="EE18" s="41"/>
      <c r="EF18" s="41"/>
      <c r="EG18" s="41"/>
      <c r="EH18" s="41"/>
      <c r="EI18" s="41"/>
      <c r="EJ18" s="41"/>
      <c r="EK18" s="41"/>
      <c r="EL18" s="41"/>
    </row>
    <row r="19" spans="1:142" x14ac:dyDescent="0.25">
      <c r="A19" s="119">
        <f t="shared" si="11"/>
        <v>8.2622029681736313E-3</v>
      </c>
      <c r="B19" s="71">
        <v>11</v>
      </c>
      <c r="C19" s="72" t="s">
        <v>237</v>
      </c>
      <c r="D19" s="86">
        <v>9.2460000000000003E-4</v>
      </c>
      <c r="E19" s="20">
        <f t="shared" si="12"/>
        <v>7.5020690326663758E-3</v>
      </c>
      <c r="G19" s="21"/>
      <c r="H19" s="21"/>
      <c r="I19" s="21">
        <v>440.41435823786668</v>
      </c>
      <c r="J19" s="21">
        <v>433.62941349409789</v>
      </c>
      <c r="K19" s="21">
        <v>442.03877875351179</v>
      </c>
      <c r="L19" s="21">
        <v>365.95232999079792</v>
      </c>
      <c r="M19" s="21">
        <v>288.11765516897879</v>
      </c>
      <c r="N19" s="21">
        <v>238.92580771682179</v>
      </c>
      <c r="O19" s="21">
        <v>236.00987871976551</v>
      </c>
      <c r="P19" s="21">
        <v>229.99956075229809</v>
      </c>
      <c r="Q19" s="21">
        <v>280.00883057671672</v>
      </c>
      <c r="R19" s="21">
        <v>289.38920406840577</v>
      </c>
      <c r="S19" s="21">
        <v>366.97025587686483</v>
      </c>
      <c r="T19" s="21">
        <v>361.81919237324149</v>
      </c>
      <c r="U19" s="21">
        <v>356.40309536669167</v>
      </c>
      <c r="V19" s="21">
        <v>364.72051351793527</v>
      </c>
      <c r="W19" s="21">
        <v>360.38345741413912</v>
      </c>
      <c r="X19" s="21">
        <v>329.26597649723908</v>
      </c>
      <c r="Y19" s="21">
        <v>322.69135122137669</v>
      </c>
      <c r="Z19" s="21">
        <v>288.3576439717944</v>
      </c>
      <c r="AA19" s="21">
        <v>292.98634173023248</v>
      </c>
      <c r="AB19" s="21">
        <v>367.6701326326646</v>
      </c>
      <c r="AC19" s="21">
        <v>500.62745443942799</v>
      </c>
      <c r="AD19" s="21">
        <v>672.57879488881156</v>
      </c>
      <c r="AE19" s="21">
        <v>676.90033004069198</v>
      </c>
      <c r="AF19" s="21"/>
      <c r="AG19" s="21"/>
      <c r="AH19" s="21"/>
      <c r="AI19" s="21"/>
      <c r="AJ19" s="21">
        <v>528.92054829140159</v>
      </c>
      <c r="AK19" s="21">
        <v>399.57571604659978</v>
      </c>
      <c r="AL19" s="21">
        <v>357.25471331437382</v>
      </c>
      <c r="AM19" s="21">
        <v>291.73834798560739</v>
      </c>
      <c r="AN19" s="21">
        <v>332.79681325695492</v>
      </c>
      <c r="AO19" s="21">
        <v>356.80539419522859</v>
      </c>
      <c r="AP19" s="21">
        <v>365.71131944358791</v>
      </c>
      <c r="AQ19" s="21">
        <v>376.06042857734451</v>
      </c>
      <c r="AR19" s="21">
        <v>391.8526882071755</v>
      </c>
      <c r="AS19" s="21">
        <v>435.70517389114201</v>
      </c>
      <c r="AT19" s="21">
        <v>440.60052434962978</v>
      </c>
      <c r="AU19" s="21">
        <v>455.00944199160023</v>
      </c>
      <c r="AV19" s="21">
        <v>454.97769502281841</v>
      </c>
      <c r="AW19" s="21">
        <v>414.72106361192778</v>
      </c>
      <c r="AX19" s="21">
        <v>374.65994911140518</v>
      </c>
      <c r="AY19" s="21">
        <v>350.78816746909229</v>
      </c>
      <c r="AZ19" s="21">
        <v>365.49393884897557</v>
      </c>
      <c r="BA19" s="21">
        <v>405.48706017184941</v>
      </c>
      <c r="BB19" s="21">
        <v>455.33974938555241</v>
      </c>
      <c r="BC19" s="21">
        <v>493.48436553093319</v>
      </c>
      <c r="BD19" s="21">
        <v>514.69536806002532</v>
      </c>
      <c r="BE19" s="21">
        <v>552.37483295145876</v>
      </c>
      <c r="BF19" s="21">
        <v>574.94079304898662</v>
      </c>
      <c r="BG19" s="21">
        <v>506.99404881747893</v>
      </c>
      <c r="BH19" s="21">
        <v>465.29627867559412</v>
      </c>
      <c r="BI19" s="21">
        <v>404.77839740987292</v>
      </c>
      <c r="BJ19" s="21">
        <v>330.80660589430607</v>
      </c>
      <c r="BK19" s="21">
        <v>330.41635170559857</v>
      </c>
      <c r="BL19" s="21">
        <v>356.77489747664941</v>
      </c>
      <c r="BM19" s="21">
        <v>420.77067185570559</v>
      </c>
      <c r="BN19" s="21">
        <v>471.12361469339328</v>
      </c>
      <c r="BO19" s="21">
        <v>520.9536857462416</v>
      </c>
      <c r="BP19" s="21">
        <v>538.13373477929645</v>
      </c>
      <c r="BQ19" s="21">
        <v>659.75607598410352</v>
      </c>
      <c r="BR19" s="21">
        <v>667.1381235590776</v>
      </c>
      <c r="BS19" s="21">
        <v>756.62492300284475</v>
      </c>
      <c r="BT19" s="21">
        <v>624.21306328816195</v>
      </c>
      <c r="BU19" s="21">
        <v>459.21826564715587</v>
      </c>
      <c r="BV19" s="21">
        <v>392.52297548788312</v>
      </c>
      <c r="BW19" s="21">
        <v>424.16655899033168</v>
      </c>
      <c r="BX19" s="21">
        <v>468.69785144198607</v>
      </c>
      <c r="BY19" s="21">
        <v>531.57413350862976</v>
      </c>
      <c r="BZ19" s="21">
        <v>607.1338367465122</v>
      </c>
      <c r="CA19" s="21">
        <v>717.04942033107352</v>
      </c>
      <c r="CB19" s="21">
        <v>787.13435347417919</v>
      </c>
      <c r="CC19" s="21">
        <v>839.74907741710012</v>
      </c>
      <c r="CD19" s="21">
        <v>908.67923194915761</v>
      </c>
      <c r="CE19" s="21">
        <v>890.98439239634058</v>
      </c>
      <c r="CF19" s="21">
        <v>706.83896160071799</v>
      </c>
      <c r="CG19" s="21">
        <v>622.40302549842409</v>
      </c>
      <c r="CH19" s="21">
        <v>612.47083065330821</v>
      </c>
      <c r="CI19" s="21">
        <v>653.84434380981418</v>
      </c>
      <c r="CJ19" s="21">
        <v>676.49911596912307</v>
      </c>
      <c r="CK19" s="21">
        <v>678.87242939743919</v>
      </c>
      <c r="CL19" s="21">
        <v>725.59984540145194</v>
      </c>
      <c r="CM19" s="21">
        <v>762.97018061133861</v>
      </c>
      <c r="CN19" s="21">
        <v>786.5053211027664</v>
      </c>
      <c r="CO19" s="21">
        <v>803.59896781053794</v>
      </c>
      <c r="CP19" s="21">
        <v>805.93063049386808</v>
      </c>
      <c r="CQ19" s="21">
        <v>781.32895236675495</v>
      </c>
      <c r="CR19" s="21">
        <v>697.71281871148221</v>
      </c>
      <c r="CS19" s="21">
        <v>616.49071826727447</v>
      </c>
      <c r="CT19" s="21">
        <v>596.11615644001392</v>
      </c>
      <c r="CU19" s="21">
        <v>605.56430326989073</v>
      </c>
      <c r="CV19" s="21">
        <v>636.18129604489218</v>
      </c>
      <c r="CW19" s="21">
        <v>697.69389007084908</v>
      </c>
      <c r="CX19" s="21">
        <v>734.24914476134438</v>
      </c>
      <c r="CY19" s="21">
        <v>820.07094276322914</v>
      </c>
      <c r="CZ19" s="21">
        <v>847.73317287114685</v>
      </c>
      <c r="DA19" s="21">
        <v>921.41373198170095</v>
      </c>
      <c r="DB19" s="21">
        <v>1002.0685735431221</v>
      </c>
      <c r="DC19" s="21">
        <v>1003.1152992834041</v>
      </c>
      <c r="DD19" s="21">
        <v>797.14371902325888</v>
      </c>
      <c r="DE19" s="21">
        <v>673.60092725236689</v>
      </c>
      <c r="DF19" s="21">
        <v>647.28484243600565</v>
      </c>
      <c r="DG19" s="21">
        <v>667.86872389969028</v>
      </c>
      <c r="DH19" s="21">
        <v>730.78786392018515</v>
      </c>
      <c r="DI19" s="21">
        <v>782.83201914057213</v>
      </c>
      <c r="DJ19" s="21">
        <v>808.01272824386399</v>
      </c>
      <c r="DK19" s="21">
        <v>850.58887073665142</v>
      </c>
      <c r="DL19" s="21">
        <v>906.04097251224971</v>
      </c>
      <c r="DM19" s="21">
        <v>923.67186013544813</v>
      </c>
      <c r="DN19" s="21">
        <v>975.90781607515373</v>
      </c>
      <c r="DO19" s="21">
        <v>980.33714797951666</v>
      </c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</row>
    <row r="20" spans="1:142" x14ac:dyDescent="0.25">
      <c r="A20" s="119">
        <f t="shared" si="11"/>
        <v>2.5398723227817336E-2</v>
      </c>
      <c r="B20" s="73">
        <v>12</v>
      </c>
      <c r="C20" s="74" t="s">
        <v>259</v>
      </c>
      <c r="D20" s="87">
        <v>2.8422999999999999E-3</v>
      </c>
      <c r="E20" s="24">
        <f t="shared" si="12"/>
        <v>2.3062006069162491E-2</v>
      </c>
      <c r="G20" s="25"/>
      <c r="H20" s="25"/>
      <c r="I20" s="25">
        <v>1352.372514078053</v>
      </c>
      <c r="J20" s="25">
        <v>1494.454792045404</v>
      </c>
      <c r="K20" s="25">
        <v>1850.52253540265</v>
      </c>
      <c r="L20" s="25">
        <v>2359.3710444895191</v>
      </c>
      <c r="M20" s="25">
        <v>2210.9436219681311</v>
      </c>
      <c r="N20" s="25">
        <v>1861.120177508607</v>
      </c>
      <c r="O20" s="25">
        <v>1672.565631841798</v>
      </c>
      <c r="P20" s="25">
        <v>1807.5408607587181</v>
      </c>
      <c r="Q20" s="25">
        <v>1786.89070080122</v>
      </c>
      <c r="R20" s="25">
        <v>1756.720397872497</v>
      </c>
      <c r="S20" s="25">
        <v>1792.4291712131339</v>
      </c>
      <c r="T20" s="25">
        <v>1815.3941930017629</v>
      </c>
      <c r="U20" s="25">
        <v>1945.7621825468891</v>
      </c>
      <c r="V20" s="25">
        <v>2129.3323815479439</v>
      </c>
      <c r="W20" s="25">
        <v>2583.2776427659019</v>
      </c>
      <c r="X20" s="25">
        <v>1336.172647875062</v>
      </c>
      <c r="Y20" s="25">
        <v>1253.838701728527</v>
      </c>
      <c r="Z20" s="25">
        <v>1072.955642542935</v>
      </c>
      <c r="AA20" s="25">
        <v>1076.7764602480061</v>
      </c>
      <c r="AB20" s="25">
        <v>957.47076388604034</v>
      </c>
      <c r="AC20" s="25">
        <v>878.41622955867194</v>
      </c>
      <c r="AD20" s="25">
        <v>787.86879050967525</v>
      </c>
      <c r="AE20" s="25">
        <v>818.03670569853125</v>
      </c>
      <c r="AF20" s="25">
        <v>809.97654137690995</v>
      </c>
      <c r="AG20" s="25">
        <v>963.18733642725022</v>
      </c>
      <c r="AH20" s="25">
        <v>967.32058674218933</v>
      </c>
      <c r="AI20" s="25">
        <v>952.61108980293739</v>
      </c>
      <c r="AJ20" s="25">
        <v>1079.459341163606</v>
      </c>
      <c r="AK20" s="25">
        <v>1484.6868783087641</v>
      </c>
      <c r="AL20" s="25">
        <v>1298.6140069240971</v>
      </c>
      <c r="AM20" s="25">
        <v>1675.0014703972081</v>
      </c>
      <c r="AN20" s="25">
        <v>1615.0658603577369</v>
      </c>
      <c r="AO20" s="25">
        <v>1356.1567972062851</v>
      </c>
      <c r="AP20" s="25">
        <v>1449.102807539271</v>
      </c>
      <c r="AQ20" s="25">
        <v>1576.5468979644861</v>
      </c>
      <c r="AR20" s="25">
        <v>1727.434102789761</v>
      </c>
      <c r="AS20" s="25">
        <v>2101.1031865345781</v>
      </c>
      <c r="AT20" s="25">
        <v>2325.1014210729568</v>
      </c>
      <c r="AU20" s="25">
        <v>2758.806484399704</v>
      </c>
      <c r="AV20" s="25">
        <v>2971.2006095713382</v>
      </c>
      <c r="AW20" s="25">
        <v>2143.7482955332998</v>
      </c>
      <c r="AX20" s="25">
        <v>1449.0300976014121</v>
      </c>
      <c r="AY20" s="25">
        <v>1931.0631567779139</v>
      </c>
      <c r="AZ20" s="25">
        <v>1954.1244799099859</v>
      </c>
      <c r="BA20" s="25">
        <v>1700.56185087927</v>
      </c>
      <c r="BB20" s="25">
        <v>1606.4582010506849</v>
      </c>
      <c r="BC20" s="25">
        <v>1527.7281491501969</v>
      </c>
      <c r="BD20" s="25">
        <v>1489.5213479154861</v>
      </c>
      <c r="BE20" s="25">
        <v>1469.407711171222</v>
      </c>
      <c r="BF20" s="25">
        <v>1414.5201849429891</v>
      </c>
      <c r="BG20" s="25">
        <v>1375.1694484818361</v>
      </c>
      <c r="BH20" s="25">
        <v>1512.7172158228459</v>
      </c>
      <c r="BI20" s="25">
        <v>2002.4231501605771</v>
      </c>
      <c r="BJ20" s="25">
        <v>1844.494361091693</v>
      </c>
      <c r="BK20" s="25">
        <v>1649.0267867658081</v>
      </c>
      <c r="BL20" s="25">
        <v>1525.8984325821079</v>
      </c>
      <c r="BM20" s="25">
        <v>1464.5032629603249</v>
      </c>
      <c r="BN20" s="25">
        <v>1354.5334995587939</v>
      </c>
      <c r="BO20" s="25">
        <v>1622.848735230034</v>
      </c>
      <c r="BP20" s="25">
        <v>1709.1525610769529</v>
      </c>
      <c r="BQ20" s="25">
        <v>2010.845393211087</v>
      </c>
      <c r="BR20" s="25">
        <v>2090.0578019698519</v>
      </c>
      <c r="BS20" s="25">
        <v>1781.2697991833529</v>
      </c>
      <c r="BT20" s="25">
        <v>1883.566835111709</v>
      </c>
      <c r="BU20" s="25">
        <v>1857.7552089131</v>
      </c>
      <c r="BV20" s="25">
        <v>1708.5737476415461</v>
      </c>
      <c r="BW20" s="25">
        <v>1644.310082999619</v>
      </c>
      <c r="BX20" s="25">
        <v>1507.8895868878119</v>
      </c>
      <c r="BY20" s="25">
        <v>1419.281085173744</v>
      </c>
      <c r="BZ20" s="25">
        <v>1386.219911328752</v>
      </c>
      <c r="CA20" s="25">
        <v>1367.0519037378331</v>
      </c>
      <c r="CB20" s="25">
        <v>1355.145120148147</v>
      </c>
      <c r="CC20" s="25">
        <v>1395.16691104284</v>
      </c>
      <c r="CD20" s="25">
        <v>1437.930127393334</v>
      </c>
      <c r="CE20" s="25">
        <v>1400.1850840458119</v>
      </c>
      <c r="CF20" s="25">
        <v>1454.682044692564</v>
      </c>
      <c r="CG20" s="25">
        <v>1802.6974075849921</v>
      </c>
      <c r="CH20" s="25">
        <v>2019.8399846011489</v>
      </c>
      <c r="CI20" s="25">
        <v>2092.7305815148079</v>
      </c>
      <c r="CJ20" s="25">
        <v>2057.030492905239</v>
      </c>
      <c r="CK20" s="25">
        <v>2113.56169439829</v>
      </c>
      <c r="CL20" s="25">
        <v>2258.979814167938</v>
      </c>
      <c r="CM20" s="25">
        <v>2518.039606122014</v>
      </c>
      <c r="CN20" s="25">
        <v>2548.1553075802908</v>
      </c>
      <c r="CO20" s="25">
        <v>2772.413001866104</v>
      </c>
      <c r="CP20" s="25">
        <v>2719.3586351347572</v>
      </c>
      <c r="CQ20" s="25">
        <v>2579.6036392227661</v>
      </c>
      <c r="CR20" s="25">
        <v>2730.0131357067171</v>
      </c>
      <c r="CS20" s="25">
        <v>2384.7467224614429</v>
      </c>
      <c r="CT20" s="25">
        <v>2643.9132331946271</v>
      </c>
      <c r="CU20" s="25">
        <v>2421.5145259040451</v>
      </c>
      <c r="CV20" s="25">
        <v>2432.3561747123408</v>
      </c>
      <c r="CW20" s="25">
        <v>2228.0939639867102</v>
      </c>
      <c r="CX20" s="25">
        <v>2209.0417481645959</v>
      </c>
      <c r="CY20" s="25">
        <v>2297.3199049510549</v>
      </c>
      <c r="CZ20" s="25">
        <v>2314.2945643394769</v>
      </c>
      <c r="DA20" s="25">
        <v>2723.4283327096568</v>
      </c>
      <c r="DB20" s="25">
        <v>2845.7458625368731</v>
      </c>
      <c r="DC20" s="25">
        <v>2904.8925540791101</v>
      </c>
      <c r="DD20" s="25">
        <v>3256.1481807396472</v>
      </c>
      <c r="DE20" s="25">
        <v>2785.630684367271</v>
      </c>
      <c r="DF20" s="25">
        <v>2615.5440064445638</v>
      </c>
      <c r="DG20" s="25">
        <v>2490.2770114207729</v>
      </c>
      <c r="DH20" s="25">
        <v>2288.832747144349</v>
      </c>
      <c r="DI20" s="25">
        <v>2311.100771310631</v>
      </c>
      <c r="DJ20" s="25">
        <v>2316.428242736436</v>
      </c>
      <c r="DK20" s="25">
        <v>2365.9286546793242</v>
      </c>
      <c r="DL20" s="25">
        <v>2435.5652151919298</v>
      </c>
      <c r="DM20" s="25">
        <v>2638.093916338913</v>
      </c>
      <c r="DN20" s="25">
        <v>2757.783314253174</v>
      </c>
      <c r="DO20" s="25">
        <v>2852.3263010441292</v>
      </c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</row>
    <row r="21" spans="1:142" x14ac:dyDescent="0.25">
      <c r="A21" s="119">
        <f t="shared" si="11"/>
        <v>2.6816862543250124E-3</v>
      </c>
      <c r="B21" s="73">
        <v>13</v>
      </c>
      <c r="C21" s="74" t="s">
        <v>265</v>
      </c>
      <c r="D21" s="87">
        <v>3.0009999999999998E-4</v>
      </c>
      <c r="E21" s="24">
        <f t="shared" si="12"/>
        <v>2.4349674634470899E-3</v>
      </c>
      <c r="G21" s="25"/>
      <c r="H21" s="25"/>
      <c r="I21" s="25">
        <v>419.88730388604841</v>
      </c>
      <c r="J21" s="25">
        <v>469.69558857520337</v>
      </c>
      <c r="K21" s="25">
        <v>395.45623763011031</v>
      </c>
      <c r="L21" s="25">
        <v>505.03936376517822</v>
      </c>
      <c r="M21" s="25">
        <v>445.08667427890032</v>
      </c>
      <c r="N21" s="25">
        <v>480.45541788398572</v>
      </c>
      <c r="O21" s="25">
        <v>510.95285619852427</v>
      </c>
      <c r="P21" s="25">
        <v>558.13727934425674</v>
      </c>
      <c r="Q21" s="25">
        <v>615.75785802262703</v>
      </c>
      <c r="R21" s="25"/>
      <c r="S21" s="25"/>
      <c r="T21" s="25">
        <v>451.95067340333759</v>
      </c>
      <c r="U21" s="25">
        <v>496.77840036878411</v>
      </c>
      <c r="V21" s="25">
        <v>434.49167385119063</v>
      </c>
      <c r="W21" s="25">
        <v>448.22599936033208</v>
      </c>
      <c r="X21" s="25">
        <v>456.1258651134824</v>
      </c>
      <c r="Y21" s="25">
        <v>482.3534430706793</v>
      </c>
      <c r="Z21" s="25">
        <v>468.62144240607091</v>
      </c>
      <c r="AA21" s="25">
        <v>530.49054077092455</v>
      </c>
      <c r="AB21" s="25">
        <v>676.80446404326301</v>
      </c>
      <c r="AC21" s="25">
        <v>776.0631644884628</v>
      </c>
      <c r="AD21" s="25"/>
      <c r="AE21" s="25"/>
      <c r="AF21" s="25"/>
      <c r="AG21" s="25"/>
      <c r="AH21" s="25">
        <v>510.35515209830447</v>
      </c>
      <c r="AI21" s="25">
        <v>461.43795157638431</v>
      </c>
      <c r="AJ21" s="25">
        <v>480.02916771589202</v>
      </c>
      <c r="AK21" s="25">
        <v>487.99295684464818</v>
      </c>
      <c r="AL21" s="25">
        <v>532.09409222701436</v>
      </c>
      <c r="AM21" s="25">
        <v>546.36435339255536</v>
      </c>
      <c r="AN21" s="25">
        <v>555.8134834476823</v>
      </c>
      <c r="AO21" s="25">
        <v>547.08304424045889</v>
      </c>
      <c r="AP21" s="25">
        <v>601.92756783670347</v>
      </c>
      <c r="AQ21" s="25"/>
      <c r="AR21" s="25"/>
      <c r="AS21" s="25">
        <v>502.1503799227367</v>
      </c>
      <c r="AT21" s="25">
        <v>554.68875537012127</v>
      </c>
      <c r="AU21" s="25">
        <v>543.34811965744052</v>
      </c>
      <c r="AV21" s="25">
        <v>550.23408462604425</v>
      </c>
      <c r="AW21" s="25">
        <v>563.94739525004013</v>
      </c>
      <c r="AX21" s="25">
        <v>585.17842071823986</v>
      </c>
      <c r="AY21" s="25">
        <v>666.57710205367391</v>
      </c>
      <c r="AZ21" s="25">
        <v>780.17426455910436</v>
      </c>
      <c r="BA21" s="25">
        <v>871.51644832882255</v>
      </c>
      <c r="BB21" s="25"/>
      <c r="BC21" s="25"/>
      <c r="BD21" s="25"/>
      <c r="BE21" s="25">
        <v>613.24522161081893</v>
      </c>
      <c r="BF21" s="25">
        <v>619.52533674411211</v>
      </c>
      <c r="BG21" s="25">
        <v>557.81271041163404</v>
      </c>
      <c r="BH21" s="25">
        <v>590.92155959040349</v>
      </c>
      <c r="BI21" s="25">
        <v>602.34806672777734</v>
      </c>
      <c r="BJ21" s="25">
        <v>614.35659270297776</v>
      </c>
      <c r="BK21" s="25">
        <v>732.70858178883452</v>
      </c>
      <c r="BL21" s="25">
        <v>772.76129372466778</v>
      </c>
      <c r="BM21" s="25">
        <v>807.8637209357812</v>
      </c>
      <c r="BN21" s="25"/>
      <c r="BO21" s="25"/>
      <c r="BP21" s="25"/>
      <c r="BQ21" s="25">
        <v>692.97246576496639</v>
      </c>
      <c r="BR21" s="25">
        <v>676.74367554014736</v>
      </c>
      <c r="BS21" s="25">
        <v>678.12500381692803</v>
      </c>
      <c r="BT21" s="25">
        <v>677.37005781637663</v>
      </c>
      <c r="BU21" s="25">
        <v>702.59047185643112</v>
      </c>
      <c r="BV21" s="25">
        <v>711.2986668409776</v>
      </c>
      <c r="BW21" s="25">
        <v>739.40193562239949</v>
      </c>
      <c r="BX21" s="25">
        <v>742.70786815652093</v>
      </c>
      <c r="BY21" s="25">
        <v>811.62741745651908</v>
      </c>
      <c r="BZ21" s="25">
        <v>829.09318077740613</v>
      </c>
      <c r="CA21" s="25">
        <v>865.46792532743802</v>
      </c>
      <c r="CB21" s="25">
        <v>796.56071904705459</v>
      </c>
      <c r="CC21" s="25">
        <v>697.20789494723147</v>
      </c>
      <c r="CD21" s="25">
        <v>697.55233513616838</v>
      </c>
      <c r="CE21" s="25">
        <v>657.08281305553419</v>
      </c>
      <c r="CF21" s="25">
        <v>694.08364165432852</v>
      </c>
      <c r="CG21" s="25">
        <v>708.80942941853391</v>
      </c>
      <c r="CH21" s="25">
        <v>737.60449864978796</v>
      </c>
      <c r="CI21" s="25">
        <v>772.10752759131526</v>
      </c>
      <c r="CJ21" s="25">
        <v>841.94496885766569</v>
      </c>
      <c r="CK21" s="25">
        <v>882.74941139502175</v>
      </c>
      <c r="CL21" s="25">
        <v>1207.6265074988139</v>
      </c>
      <c r="CM21" s="25"/>
      <c r="CN21" s="25"/>
      <c r="CO21" s="25">
        <v>821.55137393045231</v>
      </c>
      <c r="CP21" s="25">
        <v>777.68707687373274</v>
      </c>
      <c r="CQ21" s="25">
        <v>731.16216077772356</v>
      </c>
      <c r="CR21" s="25">
        <v>717.35512961788083</v>
      </c>
      <c r="CS21" s="25">
        <v>716.8021750885348</v>
      </c>
      <c r="CT21" s="25">
        <v>743.65650172769438</v>
      </c>
      <c r="CU21" s="25">
        <v>764.18377051119955</v>
      </c>
      <c r="CV21" s="25">
        <v>826.6360415112531</v>
      </c>
      <c r="CW21" s="25">
        <v>853.65821128084247</v>
      </c>
      <c r="CX21" s="25">
        <v>910.14486596811719</v>
      </c>
      <c r="CY21" s="25">
        <v>952.63326577098712</v>
      </c>
      <c r="CZ21" s="25"/>
      <c r="DA21" s="25">
        <v>789.78579028188778</v>
      </c>
      <c r="DB21" s="25">
        <v>760.7297006399366</v>
      </c>
      <c r="DC21" s="25">
        <v>721.53071681810854</v>
      </c>
      <c r="DD21" s="25">
        <v>731.60268387277006</v>
      </c>
      <c r="DE21" s="25">
        <v>699.22005631057789</v>
      </c>
      <c r="DF21" s="25">
        <v>724.41608299413053</v>
      </c>
      <c r="DG21" s="25">
        <v>775.41278886555278</v>
      </c>
      <c r="DH21" s="25">
        <v>830.41787644249291</v>
      </c>
      <c r="DI21" s="25">
        <v>852.80021325931762</v>
      </c>
      <c r="DJ21" s="25"/>
      <c r="DK21" s="25"/>
      <c r="DL21" s="25">
        <v>862.17628590356708</v>
      </c>
      <c r="DM21" s="25">
        <v>801.24730070008604</v>
      </c>
      <c r="DN21" s="25">
        <v>769.61227326481344</v>
      </c>
      <c r="DO21" s="25">
        <v>789.32529683884923</v>
      </c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</row>
    <row r="22" spans="1:142" x14ac:dyDescent="0.25">
      <c r="A22" s="119">
        <f t="shared" si="11"/>
        <v>1.0880443796288356E-2</v>
      </c>
      <c r="B22" s="73">
        <v>14</v>
      </c>
      <c r="C22" s="74" t="s">
        <v>268</v>
      </c>
      <c r="D22" s="87">
        <v>1.2176000000000001E-3</v>
      </c>
      <c r="E22" s="24">
        <f t="shared" si="12"/>
        <v>9.8794281355987241E-3</v>
      </c>
      <c r="G22" s="25"/>
      <c r="H22" s="25"/>
      <c r="I22" s="25">
        <v>338.79967705631549</v>
      </c>
      <c r="J22" s="25">
        <v>325.94752531539189</v>
      </c>
      <c r="K22" s="25">
        <v>327.26635192600662</v>
      </c>
      <c r="L22" s="25">
        <v>384.51899721280142</v>
      </c>
      <c r="M22" s="25">
        <v>329.53308938565459</v>
      </c>
      <c r="N22" s="25">
        <v>349.0059965601161</v>
      </c>
      <c r="O22" s="25">
        <v>376.7906188613191</v>
      </c>
      <c r="P22" s="25">
        <v>460.33555494732042</v>
      </c>
      <c r="Q22" s="25">
        <v>457.53042108070878</v>
      </c>
      <c r="R22" s="25">
        <v>439.06946329334079</v>
      </c>
      <c r="S22" s="25">
        <v>432.81114199533079</v>
      </c>
      <c r="T22" s="25">
        <v>432.58118761598888</v>
      </c>
      <c r="U22" s="25">
        <v>399.08101795749178</v>
      </c>
      <c r="V22" s="25">
        <v>389.23091752025312</v>
      </c>
      <c r="W22" s="25">
        <v>384.47857276827682</v>
      </c>
      <c r="X22" s="25">
        <v>436.34136721276809</v>
      </c>
      <c r="Y22" s="25">
        <v>447.55349479319261</v>
      </c>
      <c r="Z22" s="25">
        <v>406.67535351037918</v>
      </c>
      <c r="AA22" s="25">
        <v>409.98128378432818</v>
      </c>
      <c r="AB22" s="25">
        <v>423.06944214953728</v>
      </c>
      <c r="AC22" s="25">
        <v>456.87020130323299</v>
      </c>
      <c r="AD22" s="25">
        <v>436.40068713414951</v>
      </c>
      <c r="AE22" s="25">
        <v>408.11401423915089</v>
      </c>
      <c r="AF22" s="25">
        <v>407.85112269623039</v>
      </c>
      <c r="AG22" s="25">
        <v>472.64687910375699</v>
      </c>
      <c r="AH22" s="25">
        <v>407.66816322798962</v>
      </c>
      <c r="AI22" s="25">
        <v>403.3251807145366</v>
      </c>
      <c r="AJ22" s="25">
        <v>394.39568241336531</v>
      </c>
      <c r="AK22" s="25">
        <v>398.94046129459173</v>
      </c>
      <c r="AL22" s="25">
        <v>427.5756429656019</v>
      </c>
      <c r="AM22" s="25">
        <v>428.34118268782453</v>
      </c>
      <c r="AN22" s="25">
        <v>435.45549221414137</v>
      </c>
      <c r="AO22" s="25">
        <v>448.97765997067643</v>
      </c>
      <c r="AP22" s="25">
        <v>466.26990768366147</v>
      </c>
      <c r="AQ22" s="25">
        <v>480.45400981880329</v>
      </c>
      <c r="AR22" s="25">
        <v>429.41395747648153</v>
      </c>
      <c r="AS22" s="25">
        <v>450.73200164183112</v>
      </c>
      <c r="AT22" s="25">
        <v>433.86371720073191</v>
      </c>
      <c r="AU22" s="25">
        <v>443.34671543856791</v>
      </c>
      <c r="AV22" s="25">
        <v>427.86435870213882</v>
      </c>
      <c r="AW22" s="25">
        <v>440.72201952127341</v>
      </c>
      <c r="AX22" s="25">
        <v>421.36024831097922</v>
      </c>
      <c r="AY22" s="25">
        <v>440.13277062670778</v>
      </c>
      <c r="AZ22" s="25">
        <v>454.80623875694869</v>
      </c>
      <c r="BA22" s="25">
        <v>438.1894574919491</v>
      </c>
      <c r="BB22" s="25">
        <v>421.66819458722489</v>
      </c>
      <c r="BC22" s="25">
        <v>446.90257292230319</v>
      </c>
      <c r="BD22" s="25">
        <v>446.9785970513268</v>
      </c>
      <c r="BE22" s="25">
        <v>445.59754710100242</v>
      </c>
      <c r="BF22" s="25">
        <v>409.73207017308852</v>
      </c>
      <c r="BG22" s="25">
        <v>371.65147587565218</v>
      </c>
      <c r="BH22" s="25">
        <v>398.2777060014202</v>
      </c>
      <c r="BI22" s="25">
        <v>410.95793979389327</v>
      </c>
      <c r="BJ22" s="25">
        <v>382.90063673600798</v>
      </c>
      <c r="BK22" s="25">
        <v>439.10418414511543</v>
      </c>
      <c r="BL22" s="25">
        <v>471.79267259119888</v>
      </c>
      <c r="BM22" s="25">
        <v>437.82591228825862</v>
      </c>
      <c r="BN22" s="25">
        <v>427.82702101839232</v>
      </c>
      <c r="BO22" s="25">
        <v>456.16061318517148</v>
      </c>
      <c r="BP22" s="25">
        <v>481.13148628247762</v>
      </c>
      <c r="BQ22" s="25">
        <v>516.5150793290245</v>
      </c>
      <c r="BR22" s="25">
        <v>540.03608140857443</v>
      </c>
      <c r="BS22" s="25">
        <v>429.60505302808821</v>
      </c>
      <c r="BT22" s="25">
        <v>459.96623193432708</v>
      </c>
      <c r="BU22" s="25">
        <v>501.13328591643102</v>
      </c>
      <c r="BV22" s="25">
        <v>467.99691473027571</v>
      </c>
      <c r="BW22" s="25">
        <v>473.75148972267181</v>
      </c>
      <c r="BX22" s="25">
        <v>463.00647455898519</v>
      </c>
      <c r="BY22" s="25">
        <v>498.11988744323702</v>
      </c>
      <c r="BZ22" s="25">
        <v>536.46804349942727</v>
      </c>
      <c r="CA22" s="25">
        <v>519.95027672758158</v>
      </c>
      <c r="CB22" s="25">
        <v>494.02313813272792</v>
      </c>
      <c r="CC22" s="25">
        <v>555.23580332589734</v>
      </c>
      <c r="CD22" s="25">
        <v>538.40723190742347</v>
      </c>
      <c r="CE22" s="25">
        <v>503.58459322494139</v>
      </c>
      <c r="CF22" s="25">
        <v>513.69272403957598</v>
      </c>
      <c r="CG22" s="25">
        <v>515.79014524021648</v>
      </c>
      <c r="CH22" s="25">
        <v>535.51819743653198</v>
      </c>
      <c r="CI22" s="25">
        <v>574.13990069250906</v>
      </c>
      <c r="CJ22" s="25">
        <v>635.53320505573197</v>
      </c>
      <c r="CK22" s="25">
        <v>648.95956158957915</v>
      </c>
      <c r="CL22" s="25">
        <v>577.8833852476904</v>
      </c>
      <c r="CM22" s="25">
        <v>578.83100673171327</v>
      </c>
      <c r="CN22" s="25">
        <v>581.73092973015594</v>
      </c>
      <c r="CO22" s="25">
        <v>629.18777223089796</v>
      </c>
      <c r="CP22" s="25">
        <v>603.31952906912215</v>
      </c>
      <c r="CQ22" s="25">
        <v>588.84595048632218</v>
      </c>
      <c r="CR22" s="25">
        <v>558.46927288189056</v>
      </c>
      <c r="CS22" s="25">
        <v>576.27078112419395</v>
      </c>
      <c r="CT22" s="25">
        <v>646.55075314562532</v>
      </c>
      <c r="CU22" s="25">
        <v>592.47252550896496</v>
      </c>
      <c r="CV22" s="25">
        <v>639.19056079408597</v>
      </c>
      <c r="CW22" s="25">
        <v>674.38968755151757</v>
      </c>
      <c r="CX22" s="25">
        <v>619.73813885044945</v>
      </c>
      <c r="CY22" s="25">
        <v>649.06236484342605</v>
      </c>
      <c r="CZ22" s="25">
        <v>665.33914107906924</v>
      </c>
      <c r="DA22" s="25">
        <v>660.27701464335496</v>
      </c>
      <c r="DB22" s="25">
        <v>659.62377623422913</v>
      </c>
      <c r="DC22" s="25">
        <v>631.70752543226718</v>
      </c>
      <c r="DD22" s="25">
        <v>679.19064754169642</v>
      </c>
      <c r="DE22" s="25">
        <v>643.68528896773671</v>
      </c>
      <c r="DF22" s="25">
        <v>648.6247182281669</v>
      </c>
      <c r="DG22" s="25">
        <v>698.06184118932617</v>
      </c>
      <c r="DH22" s="25">
        <v>657.47820634766867</v>
      </c>
      <c r="DI22" s="25">
        <v>668.04805966823176</v>
      </c>
      <c r="DJ22" s="25">
        <v>640.40464400375038</v>
      </c>
      <c r="DK22" s="25">
        <v>645.73314059819779</v>
      </c>
      <c r="DL22" s="25">
        <v>637.19786421104391</v>
      </c>
      <c r="DM22" s="25">
        <v>680.34992097556085</v>
      </c>
      <c r="DN22" s="25">
        <v>664.06464935071756</v>
      </c>
      <c r="DO22" s="25">
        <v>637.09564434779077</v>
      </c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</row>
    <row r="23" spans="1:142" x14ac:dyDescent="0.25">
      <c r="A23" s="119">
        <f t="shared" si="11"/>
        <v>8.6750450373166352E-3</v>
      </c>
      <c r="B23" s="75">
        <v>15</v>
      </c>
      <c r="C23" s="76" t="s">
        <v>277</v>
      </c>
      <c r="D23" s="87">
        <v>9.7079999999999996E-4</v>
      </c>
      <c r="E23" s="24">
        <f t="shared" si="12"/>
        <v>7.876929068691885E-3</v>
      </c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>
        <v>644.6776576270812</v>
      </c>
      <c r="BP23" s="29">
        <v>656.49470325540187</v>
      </c>
      <c r="BQ23" s="29">
        <v>667.96877251588535</v>
      </c>
      <c r="BR23" s="29">
        <v>663.47684530151514</v>
      </c>
      <c r="BS23" s="29">
        <v>654.89475498514378</v>
      </c>
      <c r="BT23" s="29">
        <v>663.4451095334889</v>
      </c>
      <c r="BU23" s="29">
        <v>658.49821787594578</v>
      </c>
      <c r="BV23" s="29">
        <v>648.8152083562386</v>
      </c>
      <c r="BW23" s="29">
        <v>639.34589907603231</v>
      </c>
      <c r="BX23" s="29">
        <v>654.22521799600588</v>
      </c>
      <c r="BY23" s="29">
        <v>649.10261939639247</v>
      </c>
      <c r="BZ23" s="29">
        <v>646.74697372872697</v>
      </c>
      <c r="CA23" s="29">
        <v>646.41144720493844</v>
      </c>
      <c r="CB23" s="29">
        <v>652.35400393342138</v>
      </c>
      <c r="CC23" s="29">
        <v>657.32838633129188</v>
      </c>
      <c r="CD23" s="29">
        <v>654.68847139045465</v>
      </c>
      <c r="CE23" s="29">
        <v>645.4169233737581</v>
      </c>
      <c r="CF23" s="29">
        <v>651.92662870841639</v>
      </c>
      <c r="CG23" s="29">
        <v>656.56806283064179</v>
      </c>
      <c r="CH23" s="29">
        <v>681.29664554459248</v>
      </c>
      <c r="CI23" s="29">
        <v>691.44593216172188</v>
      </c>
      <c r="CJ23" s="29">
        <v>693.09014181506916</v>
      </c>
      <c r="CK23" s="29">
        <v>693.68394006707138</v>
      </c>
      <c r="CL23" s="29">
        <v>690.69253897138049</v>
      </c>
      <c r="CM23" s="29">
        <v>694.8658924774868</v>
      </c>
      <c r="CN23" s="29">
        <v>700.78553831387524</v>
      </c>
      <c r="CO23" s="29">
        <v>705.18880135647851</v>
      </c>
      <c r="CP23" s="29">
        <v>706.33070834745752</v>
      </c>
      <c r="CQ23" s="29">
        <v>703.77774926801578</v>
      </c>
      <c r="CR23" s="29">
        <v>709.24030254254637</v>
      </c>
      <c r="CS23" s="29">
        <v>709.33926818803343</v>
      </c>
      <c r="CT23" s="29">
        <v>712.82212212976845</v>
      </c>
      <c r="CU23" s="29">
        <v>714.18162357180108</v>
      </c>
      <c r="CV23" s="29">
        <v>738.93099002049871</v>
      </c>
      <c r="CW23" s="29">
        <v>753.79740794371855</v>
      </c>
      <c r="CX23" s="29">
        <v>746.95957536699609</v>
      </c>
      <c r="CY23" s="29">
        <v>736.82125261377655</v>
      </c>
      <c r="CZ23" s="29">
        <v>740.58523580813312</v>
      </c>
      <c r="DA23" s="29">
        <v>743.27530750820017</v>
      </c>
      <c r="DB23" s="29">
        <v>735.22131497718192</v>
      </c>
      <c r="DC23" s="29">
        <v>713.98584488239135</v>
      </c>
      <c r="DD23" s="29">
        <v>711.52171188298109</v>
      </c>
      <c r="DE23" s="29">
        <v>720.25895569470902</v>
      </c>
      <c r="DF23" s="29">
        <v>725.35255112257835</v>
      </c>
      <c r="DG23" s="29">
        <v>709.6703909693349</v>
      </c>
      <c r="DH23" s="29">
        <v>716.81161625294192</v>
      </c>
      <c r="DI23" s="29">
        <v>724.26920438109892</v>
      </c>
      <c r="DJ23" s="29">
        <v>723.71552683819561</v>
      </c>
      <c r="DK23" s="29">
        <v>724.09701137848413</v>
      </c>
      <c r="DL23" s="29">
        <v>722.58421148836089</v>
      </c>
      <c r="DM23" s="29">
        <v>731.84951569196903</v>
      </c>
      <c r="DN23" s="29">
        <v>736.65652449160973</v>
      </c>
      <c r="DO23" s="29">
        <v>723.1232916916066</v>
      </c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</row>
    <row r="24" spans="1:142" x14ac:dyDescent="0.25">
      <c r="A24" s="119">
        <f t="shared" si="11"/>
        <v>1.187323067684653E-2</v>
      </c>
      <c r="B24" s="77">
        <v>16</v>
      </c>
      <c r="C24" s="78" t="s">
        <v>298</v>
      </c>
      <c r="D24" s="89">
        <v>1.3286999999999999E-3</v>
      </c>
      <c r="E24" s="32">
        <f t="shared" si="12"/>
        <v>1.0780877269850544E-2</v>
      </c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>
        <v>207.26276080713589</v>
      </c>
      <c r="BP24" s="33">
        <v>196.6995412673875</v>
      </c>
      <c r="BQ24" s="33">
        <v>200.0593190664251</v>
      </c>
      <c r="BR24" s="33">
        <v>206.55758621655301</v>
      </c>
      <c r="BS24" s="33">
        <v>199.17533973293581</v>
      </c>
      <c r="BT24" s="33">
        <v>202.6074639784085</v>
      </c>
      <c r="BU24" s="33">
        <v>200.71831983529319</v>
      </c>
      <c r="BV24" s="33">
        <v>225.47102834932761</v>
      </c>
      <c r="BW24" s="33">
        <v>244.58860405202191</v>
      </c>
      <c r="BX24" s="33">
        <v>234.42835026298809</v>
      </c>
      <c r="BY24" s="33">
        <v>197.0801678165584</v>
      </c>
      <c r="BZ24" s="33">
        <v>145.18445695701439</v>
      </c>
      <c r="CA24" s="33">
        <v>144.85003262642641</v>
      </c>
      <c r="CB24" s="33">
        <v>138.2972128846591</v>
      </c>
      <c r="CC24" s="33">
        <v>136.11966304185151</v>
      </c>
      <c r="CD24" s="33">
        <v>137.4054781843495</v>
      </c>
      <c r="CE24" s="33">
        <v>139.83487131833931</v>
      </c>
      <c r="CF24" s="33">
        <v>133.27534253571429</v>
      </c>
      <c r="CG24" s="33">
        <v>130.22636466373299</v>
      </c>
      <c r="CH24" s="33">
        <v>131.74099859647299</v>
      </c>
      <c r="CI24" s="33">
        <v>141.82166509691251</v>
      </c>
      <c r="CJ24" s="33">
        <v>136.5956232126768</v>
      </c>
      <c r="CK24" s="33">
        <v>139.17285056535681</v>
      </c>
      <c r="CL24" s="33">
        <v>124.6019886317804</v>
      </c>
      <c r="CM24" s="33">
        <v>146.07138727986541</v>
      </c>
      <c r="CN24" s="33">
        <v>157.5138423537704</v>
      </c>
      <c r="CO24" s="33">
        <v>164.339659288099</v>
      </c>
      <c r="CP24" s="33">
        <v>169.0261858277058</v>
      </c>
      <c r="CQ24" s="33">
        <v>159.70843037018619</v>
      </c>
      <c r="CR24" s="33">
        <v>183.77826494956261</v>
      </c>
      <c r="CS24" s="33">
        <v>198.6994780311648</v>
      </c>
      <c r="CT24" s="33">
        <v>260.01598863064379</v>
      </c>
      <c r="CU24" s="33">
        <v>279.29761849087299</v>
      </c>
      <c r="CV24" s="33">
        <v>248.52401131538841</v>
      </c>
      <c r="CW24" s="33">
        <v>267.06662461309412</v>
      </c>
      <c r="CX24" s="33">
        <v>223.02013377621219</v>
      </c>
      <c r="CY24" s="33">
        <v>204.35423826441891</v>
      </c>
      <c r="CZ24" s="33">
        <v>197.09338162563421</v>
      </c>
      <c r="DA24" s="33">
        <v>220.86633863079041</v>
      </c>
      <c r="DB24" s="33">
        <v>250.6437672517755</v>
      </c>
      <c r="DC24" s="33">
        <v>241.9068405324295</v>
      </c>
      <c r="DD24" s="33">
        <v>248.3988155324144</v>
      </c>
      <c r="DE24" s="33">
        <v>243.30199620897329</v>
      </c>
      <c r="DF24" s="33">
        <v>261.11728759556797</v>
      </c>
      <c r="DG24" s="33">
        <v>255.34238020996739</v>
      </c>
      <c r="DH24" s="33">
        <v>228.30426119124121</v>
      </c>
      <c r="DI24" s="33">
        <v>216.447090552867</v>
      </c>
      <c r="DJ24" s="33">
        <v>201.31702232339791</v>
      </c>
      <c r="DK24" s="33">
        <v>214.0743283123727</v>
      </c>
      <c r="DL24" s="33">
        <v>188.04329911789591</v>
      </c>
      <c r="DM24" s="33">
        <v>195.7950616824952</v>
      </c>
      <c r="DN24" s="33">
        <v>175.7027845561237</v>
      </c>
      <c r="DO24" s="33">
        <v>151.81185216784971</v>
      </c>
      <c r="DP24" s="33"/>
      <c r="DQ24" s="33"/>
      <c r="DR24" s="33"/>
      <c r="DS24" s="33"/>
      <c r="DT24" s="33"/>
      <c r="DU24" s="33"/>
      <c r="DV24" s="33"/>
      <c r="DW24" s="33"/>
      <c r="DX24" s="33"/>
      <c r="DY24" s="33"/>
      <c r="DZ24" s="33"/>
      <c r="EA24" s="33"/>
      <c r="EB24" s="33"/>
      <c r="EC24" s="33"/>
      <c r="ED24" s="33"/>
      <c r="EE24" s="33"/>
      <c r="EF24" s="33"/>
      <c r="EG24" s="33"/>
      <c r="EH24" s="33"/>
      <c r="EI24" s="33"/>
      <c r="EJ24" s="33"/>
      <c r="EK24" s="33"/>
      <c r="EL24" s="33"/>
    </row>
    <row r="25" spans="1:142" x14ac:dyDescent="0.25">
      <c r="A25" s="119">
        <f t="shared" si="11"/>
        <v>3.8764261816934035E-3</v>
      </c>
      <c r="B25" s="79">
        <v>17</v>
      </c>
      <c r="C25" s="80" t="s">
        <v>307</v>
      </c>
      <c r="D25" s="90">
        <v>4.3379999999999997E-4</v>
      </c>
      <c r="E25" s="36">
        <f t="shared" si="12"/>
        <v>3.5197896889148537E-3</v>
      </c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>
        <v>1157.791233652812</v>
      </c>
      <c r="AL25" s="37">
        <v>1223.35458841779</v>
      </c>
      <c r="AM25" s="37">
        <v>1061.9052623268039</v>
      </c>
      <c r="AN25" s="37">
        <v>1015.641246355814</v>
      </c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>
        <v>1007.969886622416</v>
      </c>
      <c r="BS25" s="37">
        <v>1023.722806763982</v>
      </c>
      <c r="BT25" s="37">
        <v>1109.4711446649619</v>
      </c>
      <c r="BU25" s="37">
        <v>1153.967994301385</v>
      </c>
      <c r="BV25" s="37">
        <v>1154.883733990491</v>
      </c>
      <c r="BW25" s="37">
        <v>1165.478255803248</v>
      </c>
      <c r="BX25" s="37">
        <v>1222.4287371857311</v>
      </c>
      <c r="BY25" s="37">
        <v>1267.244392784412</v>
      </c>
      <c r="BZ25" s="37">
        <v>1238.364544346704</v>
      </c>
      <c r="CA25" s="37">
        <v>1380.4750476815991</v>
      </c>
      <c r="CB25" s="37">
        <v>1254.133509534603</v>
      </c>
      <c r="CC25" s="37">
        <v>1230.8069775542281</v>
      </c>
      <c r="CD25" s="37">
        <v>1195.518344181867</v>
      </c>
      <c r="CE25" s="37">
        <v>1196.627293772797</v>
      </c>
      <c r="CF25" s="37">
        <v>1218.073862531397</v>
      </c>
      <c r="CG25" s="37">
        <v>1256.207235833517</v>
      </c>
      <c r="CH25" s="37">
        <v>1226.662314011983</v>
      </c>
      <c r="CI25" s="37">
        <v>1252.303737763862</v>
      </c>
      <c r="CJ25" s="37">
        <v>1239.0123922357841</v>
      </c>
      <c r="CK25" s="37">
        <v>1371.2885615703469</v>
      </c>
      <c r="CL25" s="37">
        <v>1412.702361328317</v>
      </c>
      <c r="CM25" s="37">
        <v>1336.9202588144431</v>
      </c>
      <c r="CN25" s="37">
        <v>1365.508181717036</v>
      </c>
      <c r="CO25" s="37">
        <v>1417.920130512603</v>
      </c>
      <c r="CP25" s="37">
        <v>1329.121508910006</v>
      </c>
      <c r="CQ25" s="37">
        <v>1284.216178542024</v>
      </c>
      <c r="CR25" s="37">
        <v>1284.684485481361</v>
      </c>
      <c r="CS25" s="37">
        <v>1308.9711846386519</v>
      </c>
      <c r="CT25" s="37">
        <v>1359.036356485183</v>
      </c>
      <c r="CU25" s="37">
        <v>1279.417741355358</v>
      </c>
      <c r="CV25" s="37">
        <v>1312.855047746707</v>
      </c>
      <c r="CW25" s="37">
        <v>1341.841826476998</v>
      </c>
      <c r="CX25" s="37">
        <v>1413.0072728834691</v>
      </c>
      <c r="CY25" s="37">
        <v>1481.4907845015141</v>
      </c>
      <c r="CZ25" s="37">
        <v>1480.3854645310771</v>
      </c>
      <c r="DA25" s="37">
        <v>1457.644001306413</v>
      </c>
      <c r="DB25" s="37">
        <v>1402.481802749475</v>
      </c>
      <c r="DC25" s="37">
        <v>1452.9455937944069</v>
      </c>
      <c r="DD25" s="37">
        <v>1498.226194705838</v>
      </c>
      <c r="DE25" s="37">
        <v>1567.9620429868289</v>
      </c>
      <c r="DF25" s="37">
        <v>1477.8648985873999</v>
      </c>
      <c r="DG25" s="37">
        <v>1535.818246961765</v>
      </c>
      <c r="DH25" s="37">
        <v>1481.8658216772069</v>
      </c>
      <c r="DI25" s="37">
        <v>1387.1114648717339</v>
      </c>
      <c r="DJ25" s="37">
        <v>1342.192045049904</v>
      </c>
      <c r="DK25" s="37">
        <v>1494.628669707668</v>
      </c>
      <c r="DL25" s="37">
        <v>1524.4419443839149</v>
      </c>
      <c r="DM25" s="37">
        <v>1527.7658468573779</v>
      </c>
      <c r="DN25" s="37">
        <v>1443.474343847249</v>
      </c>
      <c r="DO25" s="37">
        <v>1361.640653297148</v>
      </c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</row>
    <row r="26" spans="1:142" x14ac:dyDescent="0.25">
      <c r="A26" s="119">
        <f t="shared" si="11"/>
        <v>1.669955105658975E-2</v>
      </c>
      <c r="B26" s="79">
        <v>18</v>
      </c>
      <c r="C26" s="80" t="s">
        <v>311</v>
      </c>
      <c r="D26" s="90">
        <v>1.8688000000000001E-3</v>
      </c>
      <c r="E26" s="36">
        <f t="shared" si="12"/>
        <v>1.5163169595767818E-2</v>
      </c>
      <c r="G26" s="37"/>
      <c r="H26" s="37"/>
      <c r="I26" s="37">
        <v>351.48121195591068</v>
      </c>
      <c r="J26" s="37">
        <v>300.22939037599929</v>
      </c>
      <c r="K26" s="37">
        <v>375.03920141676292</v>
      </c>
      <c r="L26" s="37">
        <v>378.25179597271409</v>
      </c>
      <c r="M26" s="37">
        <v>443.70809086524258</v>
      </c>
      <c r="N26" s="37">
        <v>409.98695979262283</v>
      </c>
      <c r="O26" s="37">
        <v>405.23010709968952</v>
      </c>
      <c r="P26" s="37">
        <v>414.09987724159203</v>
      </c>
      <c r="Q26" s="37">
        <v>440.2224352819112</v>
      </c>
      <c r="R26" s="37">
        <v>493.2688264371277</v>
      </c>
      <c r="S26" s="37">
        <v>484.58925639235019</v>
      </c>
      <c r="T26" s="37">
        <v>464.11837082505639</v>
      </c>
      <c r="U26" s="37">
        <v>484.32621940801522</v>
      </c>
      <c r="V26" s="37">
        <v>427.64068303337251</v>
      </c>
      <c r="W26" s="37">
        <v>410.2575781594258</v>
      </c>
      <c r="X26" s="37">
        <v>470.24533020889862</v>
      </c>
      <c r="Y26" s="37">
        <v>506.87237476066139</v>
      </c>
      <c r="Z26" s="37">
        <v>494.40151081877241</v>
      </c>
      <c r="AA26" s="37">
        <v>473.160669502747</v>
      </c>
      <c r="AB26" s="37">
        <v>379.77833215119432</v>
      </c>
      <c r="AC26" s="37">
        <v>348.48481869671252</v>
      </c>
      <c r="AD26" s="37">
        <v>442.1585368345319</v>
      </c>
      <c r="AE26" s="37">
        <v>486.64887448110483</v>
      </c>
      <c r="AF26" s="37">
        <v>477.07316264489208</v>
      </c>
      <c r="AG26" s="37">
        <v>492.52731339455261</v>
      </c>
      <c r="AH26" s="37">
        <v>493.02443420063781</v>
      </c>
      <c r="AI26" s="37">
        <v>502.78766673913481</v>
      </c>
      <c r="AJ26" s="37">
        <v>525.30746209757751</v>
      </c>
      <c r="AK26" s="37">
        <v>548.51006961080475</v>
      </c>
      <c r="AL26" s="37">
        <v>611.96768141589757</v>
      </c>
      <c r="AM26" s="37">
        <v>561.40335319492613</v>
      </c>
      <c r="AN26" s="37">
        <v>520.26312347263513</v>
      </c>
      <c r="AO26" s="37">
        <v>462.15242112866889</v>
      </c>
      <c r="AP26" s="37">
        <v>430.87128979533702</v>
      </c>
      <c r="AQ26" s="37">
        <v>465.29942645983562</v>
      </c>
      <c r="AR26" s="37">
        <v>479.69064600292933</v>
      </c>
      <c r="AS26" s="37">
        <v>575.92779828032292</v>
      </c>
      <c r="AT26" s="37">
        <v>549.78924885592471</v>
      </c>
      <c r="AU26" s="37">
        <v>508.46312820122557</v>
      </c>
      <c r="AV26" s="37">
        <v>528.90398248064332</v>
      </c>
      <c r="AW26" s="37">
        <v>531.70531651027659</v>
      </c>
      <c r="AX26" s="37">
        <v>557.22670218502992</v>
      </c>
      <c r="AY26" s="37">
        <v>535.87898130120345</v>
      </c>
      <c r="AZ26" s="37">
        <v>493.34348681399939</v>
      </c>
      <c r="BA26" s="37">
        <v>493.39607241081433</v>
      </c>
      <c r="BB26" s="37">
        <v>525.70254467525228</v>
      </c>
      <c r="BC26" s="37">
        <v>538.84359022153967</v>
      </c>
      <c r="BD26" s="37">
        <v>586.6421634853333</v>
      </c>
      <c r="BE26" s="37">
        <v>557.89130031294326</v>
      </c>
      <c r="BF26" s="37">
        <v>489.90505262078358</v>
      </c>
      <c r="BG26" s="37">
        <v>440.23042206587718</v>
      </c>
      <c r="BH26" s="37">
        <v>437.01372965468431</v>
      </c>
      <c r="BI26" s="37">
        <v>479.40997490007737</v>
      </c>
      <c r="BJ26" s="37">
        <v>541.47295306199283</v>
      </c>
      <c r="BK26" s="37">
        <v>550.63055566540447</v>
      </c>
      <c r="BL26" s="37">
        <v>505.00166188035848</v>
      </c>
      <c r="BM26" s="37">
        <v>512.25986767978782</v>
      </c>
      <c r="BN26" s="37">
        <v>512.87624848945518</v>
      </c>
      <c r="BO26" s="37">
        <v>530.16938825753823</v>
      </c>
      <c r="BP26" s="37">
        <v>550.0416147769223</v>
      </c>
      <c r="BQ26" s="37">
        <v>580.73481209154352</v>
      </c>
      <c r="BR26" s="37">
        <v>522.2779021743396</v>
      </c>
      <c r="BS26" s="37">
        <v>505.83212159799029</v>
      </c>
      <c r="BT26" s="37">
        <v>546.58455186624258</v>
      </c>
      <c r="BU26" s="37">
        <v>715.16680266817423</v>
      </c>
      <c r="BV26" s="37">
        <v>763.84637809875812</v>
      </c>
      <c r="BW26" s="37">
        <v>613.4892843482412</v>
      </c>
      <c r="BX26" s="37">
        <v>536.15431496395297</v>
      </c>
      <c r="BY26" s="37">
        <v>498.87508860810419</v>
      </c>
      <c r="BZ26" s="37">
        <v>503.30363976258229</v>
      </c>
      <c r="CA26" s="37">
        <v>552.11031867309339</v>
      </c>
      <c r="CB26" s="37">
        <v>578.34344700039253</v>
      </c>
      <c r="CC26" s="37">
        <v>613.2049561933967</v>
      </c>
      <c r="CD26" s="37">
        <v>583.82849096608413</v>
      </c>
      <c r="CE26" s="37">
        <v>536.36151938457067</v>
      </c>
      <c r="CF26" s="37">
        <v>515.95557599660674</v>
      </c>
      <c r="CG26" s="37">
        <v>501.77729397351391</v>
      </c>
      <c r="CH26" s="37">
        <v>508.9248884774081</v>
      </c>
      <c r="CI26" s="37">
        <v>511.75676172991678</v>
      </c>
      <c r="CJ26" s="37">
        <v>509.72429631835161</v>
      </c>
      <c r="CK26" s="37">
        <v>530.05058793744809</v>
      </c>
      <c r="CL26" s="37">
        <v>547.26132377886813</v>
      </c>
      <c r="CM26" s="37">
        <v>522.36941041212185</v>
      </c>
      <c r="CN26" s="37">
        <v>525.22912809546722</v>
      </c>
      <c r="CO26" s="37">
        <v>550.26861054272831</v>
      </c>
      <c r="CP26" s="37">
        <v>568.7975122215264</v>
      </c>
      <c r="CQ26" s="37">
        <v>643.64017468349573</v>
      </c>
      <c r="CR26" s="37">
        <v>673.97262049479389</v>
      </c>
      <c r="CS26" s="37">
        <v>767.70509204150039</v>
      </c>
      <c r="CT26" s="37">
        <v>708.81205575587853</v>
      </c>
      <c r="CU26" s="37">
        <v>686.46819188403936</v>
      </c>
      <c r="CV26" s="37">
        <v>628.15378843130702</v>
      </c>
      <c r="CW26" s="37">
        <v>568.91191085560524</v>
      </c>
      <c r="CX26" s="37">
        <v>567.58513282247441</v>
      </c>
      <c r="CY26" s="37">
        <v>576.51823763354616</v>
      </c>
      <c r="CZ26" s="37">
        <v>611.00037993586091</v>
      </c>
      <c r="DA26" s="37">
        <v>644.47318676106386</v>
      </c>
      <c r="DB26" s="37">
        <v>634.07777612234577</v>
      </c>
      <c r="DC26" s="37">
        <v>660.87254306638442</v>
      </c>
      <c r="DD26" s="37">
        <v>697.89444098894046</v>
      </c>
      <c r="DE26" s="37">
        <v>717.21451169090949</v>
      </c>
      <c r="DF26" s="37">
        <v>656.30489915454666</v>
      </c>
      <c r="DG26" s="37">
        <v>619.67762450141561</v>
      </c>
      <c r="DH26" s="37">
        <v>610.45027426727995</v>
      </c>
      <c r="DI26" s="37">
        <v>598.49498223777323</v>
      </c>
      <c r="DJ26" s="37">
        <v>573.35310495192414</v>
      </c>
      <c r="DK26" s="37">
        <v>553.51313210860155</v>
      </c>
      <c r="DL26" s="37">
        <v>591.70221559120228</v>
      </c>
      <c r="DM26" s="37">
        <v>643.73245112328425</v>
      </c>
      <c r="DN26" s="37">
        <v>652.39333059631645</v>
      </c>
      <c r="DO26" s="37">
        <v>606.44998370603366</v>
      </c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37"/>
      <c r="EB26" s="37"/>
      <c r="EC26" s="37"/>
      <c r="ED26" s="37"/>
      <c r="EE26" s="37"/>
      <c r="EF26" s="37"/>
      <c r="EG26" s="37"/>
      <c r="EH26" s="37"/>
      <c r="EI26" s="37"/>
      <c r="EJ26" s="37"/>
      <c r="EK26" s="37"/>
      <c r="EL26" s="37"/>
    </row>
    <row r="27" spans="1:142" x14ac:dyDescent="0.25">
      <c r="A27" s="119">
        <f t="shared" si="11"/>
        <v>3.8589116696691551E-2</v>
      </c>
      <c r="B27" s="79">
        <v>19</v>
      </c>
      <c r="C27" s="80" t="s">
        <v>319</v>
      </c>
      <c r="D27" s="90">
        <v>4.3184E-3</v>
      </c>
      <c r="E27" s="36">
        <f t="shared" si="12"/>
        <v>3.5038865358713471E-2</v>
      </c>
      <c r="G27" s="37"/>
      <c r="H27" s="37"/>
      <c r="I27" s="37">
        <v>410.85575688998142</v>
      </c>
      <c r="J27" s="37">
        <v>428.92370713521098</v>
      </c>
      <c r="K27" s="37">
        <v>461.91379290716691</v>
      </c>
      <c r="L27" s="37">
        <v>497.35972564717531</v>
      </c>
      <c r="M27" s="37">
        <v>477.19508074530472</v>
      </c>
      <c r="N27" s="37">
        <v>422.6581893461609</v>
      </c>
      <c r="O27" s="37">
        <v>439.14057009020678</v>
      </c>
      <c r="P27" s="37">
        <v>602.98586487620787</v>
      </c>
      <c r="Q27" s="37">
        <v>696.73067829057447</v>
      </c>
      <c r="R27" s="37">
        <v>793.01328457773127</v>
      </c>
      <c r="S27" s="37">
        <v>661.71525913984851</v>
      </c>
      <c r="T27" s="37">
        <v>514.75739860108058</v>
      </c>
      <c r="U27" s="37">
        <v>343.62777423709929</v>
      </c>
      <c r="V27" s="37">
        <v>264.53144388930377</v>
      </c>
      <c r="W27" s="37">
        <v>273.29252256374332</v>
      </c>
      <c r="X27" s="37">
        <v>323.71239430039088</v>
      </c>
      <c r="Y27" s="37">
        <v>416.52400112132858</v>
      </c>
      <c r="Z27" s="37">
        <v>436.73244919634698</v>
      </c>
      <c r="AA27" s="37">
        <v>589.55813944663396</v>
      </c>
      <c r="AB27" s="37">
        <v>570.49873804980325</v>
      </c>
      <c r="AC27" s="37">
        <v>507.96746732513162</v>
      </c>
      <c r="AD27" s="37">
        <v>401.80657805898369</v>
      </c>
      <c r="AE27" s="37">
        <v>362.01428196653319</v>
      </c>
      <c r="AF27" s="37">
        <v>342.72887898675572</v>
      </c>
      <c r="AG27" s="37">
        <v>358.57545806177802</v>
      </c>
      <c r="AH27" s="37">
        <v>339.78929598577548</v>
      </c>
      <c r="AI27" s="37">
        <v>344.62576340560719</v>
      </c>
      <c r="AJ27" s="37">
        <v>324.22070888365869</v>
      </c>
      <c r="AK27" s="37">
        <v>326.84183628214248</v>
      </c>
      <c r="AL27" s="37">
        <v>353.93804969593901</v>
      </c>
      <c r="AM27" s="37">
        <v>335.8063376134665</v>
      </c>
      <c r="AN27" s="37">
        <v>344.60146676652403</v>
      </c>
      <c r="AO27" s="37">
        <v>365.24526031465979</v>
      </c>
      <c r="AP27" s="37">
        <v>326.92360986702141</v>
      </c>
      <c r="AQ27" s="37">
        <v>282.94391312678931</v>
      </c>
      <c r="AR27" s="37">
        <v>306.35311342109333</v>
      </c>
      <c r="AS27" s="37">
        <v>317.1416672624764</v>
      </c>
      <c r="AT27" s="37">
        <v>306.35982211165771</v>
      </c>
      <c r="AU27" s="37">
        <v>307.27523115055732</v>
      </c>
      <c r="AV27" s="37">
        <v>293.49657567862891</v>
      </c>
      <c r="AW27" s="37">
        <v>285.5621396203764</v>
      </c>
      <c r="AX27" s="37">
        <v>285.58111382542279</v>
      </c>
      <c r="AY27" s="37">
        <v>333.8992561578292</v>
      </c>
      <c r="AZ27" s="37">
        <v>359.53660183699168</v>
      </c>
      <c r="BA27" s="37">
        <v>436.20351532613091</v>
      </c>
      <c r="BB27" s="37">
        <v>519.10395724170496</v>
      </c>
      <c r="BC27" s="37">
        <v>527.87106902826872</v>
      </c>
      <c r="BD27" s="37">
        <v>544.69125088012959</v>
      </c>
      <c r="BE27" s="37">
        <v>494.05000387414731</v>
      </c>
      <c r="BF27" s="37">
        <v>449.00112128875787</v>
      </c>
      <c r="BG27" s="37">
        <v>412.44108087013319</v>
      </c>
      <c r="BH27" s="37">
        <v>440.54701838484868</v>
      </c>
      <c r="BI27" s="37">
        <v>470.09063658524559</v>
      </c>
      <c r="BJ27" s="37">
        <v>506.88549674950667</v>
      </c>
      <c r="BK27" s="37">
        <v>673.71317058053091</v>
      </c>
      <c r="BL27" s="37">
        <v>814.71882592431211</v>
      </c>
      <c r="BM27" s="37">
        <v>627.43377982642926</v>
      </c>
      <c r="BN27" s="37">
        <v>459.27113111913241</v>
      </c>
      <c r="BO27" s="37">
        <v>497.70027167910553</v>
      </c>
      <c r="BP27" s="37">
        <v>472.78967181990919</v>
      </c>
      <c r="BQ27" s="37">
        <v>463.96197288985132</v>
      </c>
      <c r="BR27" s="37">
        <v>429.59743860597098</v>
      </c>
      <c r="BS27" s="37">
        <v>450.15508963293212</v>
      </c>
      <c r="BT27" s="37">
        <v>472.69468857542148</v>
      </c>
      <c r="BU27" s="37">
        <v>474.61635728997442</v>
      </c>
      <c r="BV27" s="37">
        <v>484.47135907680268</v>
      </c>
      <c r="BW27" s="37">
        <v>593.68565730817011</v>
      </c>
      <c r="BX27" s="37">
        <v>729.72977543908485</v>
      </c>
      <c r="BY27" s="37">
        <v>807.90239269974177</v>
      </c>
      <c r="BZ27" s="37">
        <v>609.75527882703864</v>
      </c>
      <c r="CA27" s="37">
        <v>486.91033084850147</v>
      </c>
      <c r="CB27" s="37">
        <v>526.78603463756656</v>
      </c>
      <c r="CC27" s="37">
        <v>534.51947659984978</v>
      </c>
      <c r="CD27" s="37">
        <v>510.25957247620499</v>
      </c>
      <c r="CE27" s="37">
        <v>507.39485113992498</v>
      </c>
      <c r="CF27" s="37">
        <v>520.29341017579407</v>
      </c>
      <c r="CG27" s="37">
        <v>541.09078085108717</v>
      </c>
      <c r="CH27" s="37">
        <v>535.63782522063843</v>
      </c>
      <c r="CI27" s="37">
        <v>557.53542500672768</v>
      </c>
      <c r="CJ27" s="37">
        <v>560.35170397063018</v>
      </c>
      <c r="CK27" s="37">
        <v>561.62103921042205</v>
      </c>
      <c r="CL27" s="37">
        <v>553.27385928885883</v>
      </c>
      <c r="CM27" s="37">
        <v>565.12854608409214</v>
      </c>
      <c r="CN27" s="37">
        <v>538.06530273096803</v>
      </c>
      <c r="CO27" s="37">
        <v>547.67761618457371</v>
      </c>
      <c r="CP27" s="37">
        <v>562.99201431993515</v>
      </c>
      <c r="CQ27" s="37">
        <v>552.05187128537364</v>
      </c>
      <c r="CR27" s="37">
        <v>550.00113797159179</v>
      </c>
      <c r="CS27" s="37">
        <v>570.3876365541671</v>
      </c>
      <c r="CT27" s="37">
        <v>687.60499246323513</v>
      </c>
      <c r="CU27" s="37">
        <v>734.2769360206529</v>
      </c>
      <c r="CV27" s="37">
        <v>795.07173404937726</v>
      </c>
      <c r="CW27" s="37">
        <v>864.45351630393657</v>
      </c>
      <c r="CX27" s="37">
        <v>777.84085290764972</v>
      </c>
      <c r="CY27" s="37">
        <v>690.64479601487835</v>
      </c>
      <c r="CZ27" s="37">
        <v>631.39471020275982</v>
      </c>
      <c r="DA27" s="37">
        <v>569.55468456858489</v>
      </c>
      <c r="DB27" s="37">
        <v>564.03171829939606</v>
      </c>
      <c r="DC27" s="37">
        <v>576.89024953872217</v>
      </c>
      <c r="DD27" s="37">
        <v>627.24589557377021</v>
      </c>
      <c r="DE27" s="37">
        <v>608.48060859742566</v>
      </c>
      <c r="DF27" s="37">
        <v>624.09104203183779</v>
      </c>
      <c r="DG27" s="37">
        <v>614.06302440222089</v>
      </c>
      <c r="DH27" s="37">
        <v>592.80798866844771</v>
      </c>
      <c r="DI27" s="37">
        <v>599.34288514564832</v>
      </c>
      <c r="DJ27" s="37">
        <v>543.44572612925754</v>
      </c>
      <c r="DK27" s="37">
        <v>511.20022722698582</v>
      </c>
      <c r="DL27" s="37">
        <v>525.24693675310493</v>
      </c>
      <c r="DM27" s="37">
        <v>525.21394511587584</v>
      </c>
      <c r="DN27" s="37">
        <v>493.48752285995101</v>
      </c>
      <c r="DO27" s="37">
        <v>468.60144061461273</v>
      </c>
      <c r="DP27" s="37"/>
      <c r="DQ27" s="37"/>
      <c r="DR27" s="37"/>
      <c r="DS27" s="37"/>
      <c r="DT27" s="37"/>
      <c r="DU27" s="37"/>
      <c r="DV27" s="37"/>
      <c r="DW27" s="37"/>
      <c r="DX27" s="37"/>
      <c r="DY27" s="37"/>
      <c r="DZ27" s="37"/>
      <c r="EA27" s="37"/>
      <c r="EB27" s="37"/>
      <c r="EC27" s="37"/>
      <c r="ED27" s="37"/>
      <c r="EE27" s="37"/>
      <c r="EF27" s="37"/>
      <c r="EG27" s="37"/>
      <c r="EH27" s="37"/>
      <c r="EI27" s="37"/>
      <c r="EJ27" s="37"/>
      <c r="EK27" s="37"/>
      <c r="EL27" s="37"/>
    </row>
    <row r="28" spans="1:142" x14ac:dyDescent="0.25">
      <c r="A28" s="119">
        <f t="shared" si="11"/>
        <v>4.4420734322724552E-3</v>
      </c>
      <c r="B28" s="81">
        <v>20</v>
      </c>
      <c r="C28" s="82" t="s">
        <v>330</v>
      </c>
      <c r="D28" s="91">
        <v>4.9709999999999999E-4</v>
      </c>
      <c r="E28" s="40">
        <f t="shared" si="12"/>
        <v>4.0333966213913644E-3</v>
      </c>
      <c r="G28" s="41"/>
      <c r="H28" s="41"/>
      <c r="I28" s="41">
        <v>110.68042047291669</v>
      </c>
      <c r="J28" s="41">
        <v>114.1945079258922</v>
      </c>
      <c r="K28" s="41">
        <v>131.6502909979514</v>
      </c>
      <c r="L28" s="41">
        <v>167.8694976330209</v>
      </c>
      <c r="M28" s="41">
        <v>192.272897911174</v>
      </c>
      <c r="N28" s="41">
        <v>209.49962854605519</v>
      </c>
      <c r="O28" s="41">
        <v>237.08515479217829</v>
      </c>
      <c r="P28" s="41">
        <v>244.3245954119206</v>
      </c>
      <c r="Q28" s="41">
        <v>228.4914141828236</v>
      </c>
      <c r="R28" s="41">
        <v>173.7402907259717</v>
      </c>
      <c r="S28" s="41">
        <v>178.96230334925031</v>
      </c>
      <c r="T28" s="41">
        <v>156.92853015263631</v>
      </c>
      <c r="U28" s="41">
        <v>144.4107426879047</v>
      </c>
      <c r="V28" s="41">
        <v>145.97293426356961</v>
      </c>
      <c r="W28" s="41">
        <v>154.74901643627101</v>
      </c>
      <c r="X28" s="41">
        <v>155.74962572370401</v>
      </c>
      <c r="Y28" s="41">
        <v>222.4733162898747</v>
      </c>
      <c r="Z28" s="41">
        <v>277.27659421995628</v>
      </c>
      <c r="AA28" s="41">
        <v>346.68320839168842</v>
      </c>
      <c r="AB28" s="41">
        <v>369.44532980005351</v>
      </c>
      <c r="AC28" s="41">
        <v>261.27032305520839</v>
      </c>
      <c r="AD28" s="41">
        <v>177.09512099468341</v>
      </c>
      <c r="AE28" s="41">
        <v>177.08493695524649</v>
      </c>
      <c r="AF28" s="41">
        <v>168.06843500076619</v>
      </c>
      <c r="AG28" s="41">
        <v>158.55722310345811</v>
      </c>
      <c r="AH28" s="41">
        <v>163.3525448659102</v>
      </c>
      <c r="AI28" s="41">
        <v>188.56495557634989</v>
      </c>
      <c r="AJ28" s="41">
        <v>210.54730658885799</v>
      </c>
      <c r="AK28" s="41">
        <v>272.2042284755945</v>
      </c>
      <c r="AL28" s="41">
        <v>334.32676196446658</v>
      </c>
      <c r="AM28" s="41">
        <v>390.81996781192879</v>
      </c>
      <c r="AN28" s="41">
        <v>355.04647613047058</v>
      </c>
      <c r="AO28" s="41">
        <v>268.39751431071539</v>
      </c>
      <c r="AP28" s="41">
        <v>188.6398872194481</v>
      </c>
      <c r="AQ28" s="41">
        <v>200.4878606103027</v>
      </c>
      <c r="AR28" s="41">
        <v>195.38055479444219</v>
      </c>
      <c r="AS28" s="41">
        <v>180.0903487029376</v>
      </c>
      <c r="AT28" s="41">
        <v>189.32825879650289</v>
      </c>
      <c r="AU28" s="41">
        <v>205.60451561212619</v>
      </c>
      <c r="AV28" s="41">
        <v>238.3188304833904</v>
      </c>
      <c r="AW28" s="41">
        <v>276.77842806125278</v>
      </c>
      <c r="AX28" s="41">
        <v>321.2063908942859</v>
      </c>
      <c r="AY28" s="41">
        <v>342.74608818092491</v>
      </c>
      <c r="AZ28" s="41">
        <v>355.85592851037433</v>
      </c>
      <c r="BA28" s="41">
        <v>334.33718629428807</v>
      </c>
      <c r="BB28" s="41">
        <v>246.80316486812939</v>
      </c>
      <c r="BC28" s="41">
        <v>231.7757048833239</v>
      </c>
      <c r="BD28" s="41">
        <v>238.26096376443439</v>
      </c>
      <c r="BE28" s="41">
        <v>216.15929204627281</v>
      </c>
      <c r="BF28" s="41">
        <v>203.18959815356189</v>
      </c>
      <c r="BG28" s="41">
        <v>189.42850797222519</v>
      </c>
      <c r="BH28" s="41">
        <v>218.38479392152649</v>
      </c>
      <c r="BI28" s="41">
        <v>273.1665758137305</v>
      </c>
      <c r="BJ28" s="41">
        <v>328.77708465615541</v>
      </c>
      <c r="BK28" s="41">
        <v>408.76183751954682</v>
      </c>
      <c r="BL28" s="41">
        <v>404.02438894045241</v>
      </c>
      <c r="BM28" s="41">
        <v>345.56399244094757</v>
      </c>
      <c r="BN28" s="41">
        <v>247.96753669026759</v>
      </c>
      <c r="BO28" s="41">
        <v>272.34261238099691</v>
      </c>
      <c r="BP28" s="41">
        <v>276.28959741545412</v>
      </c>
      <c r="BQ28" s="41">
        <v>289.30310481230998</v>
      </c>
      <c r="BR28" s="41">
        <v>249.55930914510279</v>
      </c>
      <c r="BS28" s="41">
        <v>257.06983631646023</v>
      </c>
      <c r="BT28" s="41">
        <v>377.85166121911988</v>
      </c>
      <c r="BU28" s="41">
        <v>448.62850131519218</v>
      </c>
      <c r="BV28" s="41">
        <v>505.41458331747049</v>
      </c>
      <c r="BW28" s="41">
        <v>530.82497106412904</v>
      </c>
      <c r="BX28" s="41">
        <v>466.24463799191102</v>
      </c>
      <c r="BY28" s="41">
        <v>383.63316763569293</v>
      </c>
      <c r="BZ28" s="41">
        <v>309.54048712878472</v>
      </c>
      <c r="CA28" s="41">
        <v>301.07692765325282</v>
      </c>
      <c r="CB28" s="41">
        <v>277.85925587689002</v>
      </c>
      <c r="CC28" s="41">
        <v>272.57551604134773</v>
      </c>
      <c r="CD28" s="41">
        <v>271.04202702463482</v>
      </c>
      <c r="CE28" s="41">
        <v>278.79886011747152</v>
      </c>
      <c r="CF28" s="41">
        <v>307.06237326105509</v>
      </c>
      <c r="CG28" s="41">
        <v>338.80269138993037</v>
      </c>
      <c r="CH28" s="41">
        <v>366.38989742973791</v>
      </c>
      <c r="CI28" s="41">
        <v>425.39850749588419</v>
      </c>
      <c r="CJ28" s="41">
        <v>473.73764436194631</v>
      </c>
      <c r="CK28" s="41">
        <v>438.38075241879778</v>
      </c>
      <c r="CL28" s="41">
        <v>368.82693297518682</v>
      </c>
      <c r="CM28" s="41">
        <v>325.19654762255692</v>
      </c>
      <c r="CN28" s="41">
        <v>327.04241300888248</v>
      </c>
      <c r="CO28" s="41">
        <v>326.54169199078808</v>
      </c>
      <c r="CP28" s="41">
        <v>323.86764282871599</v>
      </c>
      <c r="CQ28" s="41">
        <v>331.97577513294772</v>
      </c>
      <c r="CR28" s="41">
        <v>337.85771345133298</v>
      </c>
      <c r="CS28" s="41">
        <v>340.85439941783159</v>
      </c>
      <c r="CT28" s="41">
        <v>392.4218178904884</v>
      </c>
      <c r="CU28" s="41">
        <v>456.83376793121232</v>
      </c>
      <c r="CV28" s="41">
        <v>495.56144733669998</v>
      </c>
      <c r="CW28" s="41">
        <v>424.90744716427201</v>
      </c>
      <c r="CX28" s="41">
        <v>422.4718829300719</v>
      </c>
      <c r="CY28" s="41">
        <v>430.99690353151072</v>
      </c>
      <c r="CZ28" s="41">
        <v>429.00101264460972</v>
      </c>
      <c r="DA28" s="41">
        <v>425.8934669195919</v>
      </c>
      <c r="DB28" s="41">
        <v>413.93822690929022</v>
      </c>
      <c r="DC28" s="41">
        <v>421.879116108208</v>
      </c>
      <c r="DD28" s="41">
        <v>455.6062329807466</v>
      </c>
      <c r="DE28" s="41">
        <v>467.7995760203612</v>
      </c>
      <c r="DF28" s="41"/>
      <c r="DG28" s="41"/>
      <c r="DH28" s="41"/>
      <c r="DI28" s="41"/>
      <c r="DJ28" s="41"/>
      <c r="DK28" s="41"/>
      <c r="DL28" s="41"/>
      <c r="DM28" s="41"/>
      <c r="DN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</row>
    <row r="29" spans="1:142" x14ac:dyDescent="0.25">
      <c r="A29" s="119">
        <f t="shared" si="11"/>
        <v>3.2620778645163141E-2</v>
      </c>
      <c r="B29" s="71">
        <v>21</v>
      </c>
      <c r="C29" s="83" t="s">
        <v>341</v>
      </c>
      <c r="D29" s="92">
        <v>3.6505000000000001E-3</v>
      </c>
      <c r="E29" s="43">
        <f t="shared" si="12"/>
        <v>2.961962254353083E-2</v>
      </c>
      <c r="G29" s="21"/>
      <c r="H29" s="21"/>
      <c r="I29" s="21">
        <v>447.28918612219189</v>
      </c>
      <c r="J29" s="21">
        <v>522.0812288690546</v>
      </c>
      <c r="K29" s="21">
        <v>587.14666534545017</v>
      </c>
      <c r="L29" s="21">
        <v>547.60234426862871</v>
      </c>
      <c r="M29" s="21">
        <v>552.87783084023692</v>
      </c>
      <c r="N29" s="21">
        <v>498.3402226261889</v>
      </c>
      <c r="O29" s="21">
        <v>622.03752852575121</v>
      </c>
      <c r="P29" s="21">
        <v>814.5007969671725</v>
      </c>
      <c r="Q29" s="21">
        <v>724.12101578127567</v>
      </c>
      <c r="R29" s="21">
        <v>714.00532070410509</v>
      </c>
      <c r="S29" s="21">
        <v>514.85613744058617</v>
      </c>
      <c r="T29" s="21">
        <v>473.72544958463197</v>
      </c>
      <c r="U29" s="21">
        <v>495.08444456699129</v>
      </c>
      <c r="V29" s="21">
        <v>459.92647388110578</v>
      </c>
      <c r="W29" s="21">
        <v>535.82659118153219</v>
      </c>
      <c r="X29" s="21">
        <v>658.07582985879458</v>
      </c>
      <c r="Y29" s="21">
        <v>838.13046597600385</v>
      </c>
      <c r="Z29" s="21">
        <v>959.37080628117519</v>
      </c>
      <c r="AA29" s="21">
        <v>1017.473250213388</v>
      </c>
      <c r="AB29" s="21">
        <v>881.51488825012177</v>
      </c>
      <c r="AC29" s="21">
        <v>684.54919624720947</v>
      </c>
      <c r="AD29" s="21">
        <v>670.22463499796822</v>
      </c>
      <c r="AE29" s="21">
        <v>650.90542116037295</v>
      </c>
      <c r="AF29" s="21">
        <v>512.39746639123189</v>
      </c>
      <c r="AG29" s="21">
        <v>493.1916850832269</v>
      </c>
      <c r="AH29" s="21">
        <v>425.29876273848367</v>
      </c>
      <c r="AI29" s="21">
        <v>549.21706902122617</v>
      </c>
      <c r="AJ29" s="21">
        <v>624.74824374571153</v>
      </c>
      <c r="AK29" s="21">
        <v>864.07508367959554</v>
      </c>
      <c r="AL29" s="21">
        <v>1038.9977347484721</v>
      </c>
      <c r="AM29" s="21">
        <v>1288.007315473101</v>
      </c>
      <c r="AN29" s="21">
        <v>1401.462976338737</v>
      </c>
      <c r="AO29" s="21">
        <v>922.8861706724623</v>
      </c>
      <c r="AP29" s="21">
        <v>625.96348708553114</v>
      </c>
      <c r="AQ29" s="21">
        <v>467.61786996670787</v>
      </c>
      <c r="AR29" s="21">
        <v>497.42623438331429</v>
      </c>
      <c r="AS29" s="21">
        <v>530.92925802259253</v>
      </c>
      <c r="AT29" s="21">
        <v>559.73324772001297</v>
      </c>
      <c r="AU29" s="21">
        <v>637.82814703016834</v>
      </c>
      <c r="AV29" s="21">
        <v>817.15934564953955</v>
      </c>
      <c r="AW29" s="21">
        <v>758.68555208370435</v>
      </c>
      <c r="AX29" s="21">
        <v>703.65592521942961</v>
      </c>
      <c r="AY29" s="21">
        <v>1149.717095406442</v>
      </c>
      <c r="AZ29" s="21">
        <v>1244.0547088277301</v>
      </c>
      <c r="BA29" s="21">
        <v>1068.1626377202581</v>
      </c>
      <c r="BB29" s="21">
        <v>691.5081457920877</v>
      </c>
      <c r="BC29" s="21">
        <v>625.19864536609145</v>
      </c>
      <c r="BD29" s="21">
        <v>629.10696140201867</v>
      </c>
      <c r="BE29" s="21">
        <v>636.92124925448968</v>
      </c>
      <c r="BF29" s="21">
        <v>589.98156308318664</v>
      </c>
      <c r="BG29" s="21">
        <v>611.72549339849672</v>
      </c>
      <c r="BH29" s="21">
        <v>623.29005285099811</v>
      </c>
      <c r="BI29" s="21">
        <v>597.96629359149176</v>
      </c>
      <c r="BJ29" s="21">
        <v>705.83401360747109</v>
      </c>
      <c r="BK29" s="21">
        <v>942.16651805441757</v>
      </c>
      <c r="BL29" s="21">
        <v>958.42262015795393</v>
      </c>
      <c r="BM29" s="21">
        <v>804.88447732501379</v>
      </c>
      <c r="BN29" s="21">
        <v>638.9280600297476</v>
      </c>
      <c r="BO29" s="21">
        <v>729.64928794606283</v>
      </c>
      <c r="BP29" s="21">
        <v>708.3193748326122</v>
      </c>
      <c r="BQ29" s="21">
        <v>724.32823175118972</v>
      </c>
      <c r="BR29" s="21">
        <v>513.61051191033425</v>
      </c>
      <c r="BS29" s="21">
        <v>555.15679208027098</v>
      </c>
      <c r="BT29" s="21">
        <v>808.40164271537117</v>
      </c>
      <c r="BU29" s="21">
        <v>857.48077122016196</v>
      </c>
      <c r="BV29" s="21">
        <v>765.83612523410807</v>
      </c>
      <c r="BW29" s="21">
        <v>811.06656657493738</v>
      </c>
      <c r="BX29" s="21">
        <v>961.7041360726796</v>
      </c>
      <c r="BY29" s="21">
        <v>813.80031086195299</v>
      </c>
      <c r="BZ29" s="21">
        <v>635.76309282953196</v>
      </c>
      <c r="CA29" s="21">
        <v>589.55192878725666</v>
      </c>
      <c r="CB29" s="21">
        <v>554.36162093658493</v>
      </c>
      <c r="CC29" s="21">
        <v>552.53628610008116</v>
      </c>
      <c r="CD29" s="21">
        <v>620.08795242148847</v>
      </c>
      <c r="CE29" s="21">
        <v>595.89537663174701</v>
      </c>
      <c r="CF29" s="21">
        <v>617.68185393667181</v>
      </c>
      <c r="CG29" s="21">
        <v>603.2993086949657</v>
      </c>
      <c r="CH29" s="21">
        <v>655.09016841532946</v>
      </c>
      <c r="CI29" s="21">
        <v>980.26221502299552</v>
      </c>
      <c r="CJ29" s="21">
        <v>1336.90826321485</v>
      </c>
      <c r="CK29" s="21">
        <v>1073.9523243690039</v>
      </c>
      <c r="CL29" s="21">
        <v>790.44589589559689</v>
      </c>
      <c r="CM29" s="21">
        <v>729.50507980986174</v>
      </c>
      <c r="CN29" s="21">
        <v>601.80241820547565</v>
      </c>
      <c r="CO29" s="21">
        <v>579.49378435237713</v>
      </c>
      <c r="CP29" s="21">
        <v>616.91585650995773</v>
      </c>
      <c r="CQ29" s="21">
        <v>704.27129333029086</v>
      </c>
      <c r="CR29" s="21">
        <v>690.42096020612632</v>
      </c>
      <c r="CS29" s="21">
        <v>712.80831121455799</v>
      </c>
      <c r="CT29" s="21">
        <v>757.31056794485187</v>
      </c>
      <c r="CU29" s="21">
        <v>982.67910401465167</v>
      </c>
      <c r="CV29" s="21">
        <v>949.53210416215745</v>
      </c>
      <c r="CW29" s="21">
        <v>828.48594614834337</v>
      </c>
      <c r="CX29" s="21">
        <v>745.57315875236918</v>
      </c>
      <c r="CY29" s="21">
        <v>751.81278137683398</v>
      </c>
      <c r="CZ29" s="21">
        <v>711.96842412187766</v>
      </c>
      <c r="DA29" s="21">
        <v>701.05903462404797</v>
      </c>
      <c r="DB29" s="21">
        <v>694.06604582413377</v>
      </c>
      <c r="DC29" s="21">
        <v>940.63194315688543</v>
      </c>
      <c r="DD29" s="21">
        <v>1006.32380937237</v>
      </c>
      <c r="DE29" s="21">
        <v>871.1063553049014</v>
      </c>
      <c r="DF29" s="21">
        <v>1052.7042474796849</v>
      </c>
      <c r="DG29" s="21">
        <v>1527.4288259292171</v>
      </c>
      <c r="DH29" s="21">
        <v>1336.4624411906509</v>
      </c>
      <c r="DI29" s="21">
        <v>830.10229866859254</v>
      </c>
      <c r="DJ29" s="21">
        <v>695.42609667043052</v>
      </c>
      <c r="DK29" s="21">
        <v>648.30024143001754</v>
      </c>
      <c r="DL29" s="21">
        <v>651.57248669920705</v>
      </c>
      <c r="DM29" s="21">
        <v>787.2398586106417</v>
      </c>
      <c r="DN29" s="21">
        <v>888.99854401600737</v>
      </c>
      <c r="DO29" s="21">
        <v>907.01568944779808</v>
      </c>
      <c r="DP29" s="21"/>
      <c r="DQ29" s="21"/>
      <c r="DR29" s="21"/>
      <c r="DS29" s="21"/>
      <c r="DT29" s="21"/>
      <c r="DU29" s="21"/>
      <c r="DV29" s="21"/>
      <c r="DW29" s="21"/>
      <c r="DX29" s="21"/>
      <c r="DY29" s="21"/>
      <c r="DZ29" s="21"/>
      <c r="EA29" s="21"/>
      <c r="EB29" s="21"/>
      <c r="EC29" s="21"/>
      <c r="ED29" s="21"/>
      <c r="EE29" s="21"/>
      <c r="EF29" s="21"/>
      <c r="EG29" s="21"/>
      <c r="EH29" s="21"/>
      <c r="EI29" s="21"/>
      <c r="EJ29" s="21"/>
      <c r="EK29" s="21"/>
      <c r="EL29" s="21"/>
    </row>
    <row r="30" spans="1:142" x14ac:dyDescent="0.25">
      <c r="A30" s="119">
        <f t="shared" si="11"/>
        <v>7.4919218781275927E-3</v>
      </c>
      <c r="B30" s="73">
        <v>22</v>
      </c>
      <c r="C30" s="74" t="s">
        <v>345</v>
      </c>
      <c r="D30" s="87">
        <v>8.384E-4</v>
      </c>
      <c r="E30" s="24">
        <f t="shared" si="12"/>
        <v>6.8026548528958355E-3</v>
      </c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>
        <v>345.7515140093401</v>
      </c>
      <c r="CK30" s="25">
        <v>497.61145067445818</v>
      </c>
      <c r="CL30" s="25">
        <v>562.54414908165552</v>
      </c>
      <c r="CM30" s="25">
        <v>560.54529883636656</v>
      </c>
      <c r="CN30" s="25">
        <v>573.29457935750133</v>
      </c>
      <c r="CO30" s="25">
        <v>566.11868755741796</v>
      </c>
      <c r="CP30" s="25">
        <v>566.02773081271528</v>
      </c>
      <c r="CQ30" s="25">
        <v>573.78840123064049</v>
      </c>
      <c r="CR30" s="25">
        <v>563.70750899477684</v>
      </c>
      <c r="CS30" s="25">
        <v>561.34185081018632</v>
      </c>
      <c r="CT30" s="25">
        <v>572.47533179519598</v>
      </c>
      <c r="CU30" s="25">
        <v>575.78643168227416</v>
      </c>
      <c r="CV30" s="25">
        <v>642.86141974911209</v>
      </c>
      <c r="CW30" s="25">
        <v>636.48365865686606</v>
      </c>
      <c r="CX30" s="25">
        <v>615.59450318955533</v>
      </c>
      <c r="CY30" s="25">
        <v>623.80074668699547</v>
      </c>
      <c r="CZ30" s="25">
        <v>614.5348478034191</v>
      </c>
      <c r="DA30" s="25">
        <v>615.03798607614794</v>
      </c>
      <c r="DB30" s="25">
        <v>598.30719965768458</v>
      </c>
      <c r="DC30" s="25">
        <v>599.13251105486199</v>
      </c>
      <c r="DD30" s="25">
        <v>578.22076023469253</v>
      </c>
      <c r="DE30" s="25">
        <v>561.04539923352183</v>
      </c>
      <c r="DF30" s="25">
        <v>579.53362668980924</v>
      </c>
      <c r="DG30" s="25">
        <v>581.28589938494474</v>
      </c>
      <c r="DH30" s="25">
        <v>587.22719151556771</v>
      </c>
      <c r="DI30" s="25">
        <v>592.5053164562388</v>
      </c>
      <c r="DJ30" s="25">
        <v>628.36950568082159</v>
      </c>
      <c r="DK30" s="25">
        <v>628.92027526109382</v>
      </c>
      <c r="DL30" s="25">
        <v>603.18862884444195</v>
      </c>
      <c r="DM30" s="25">
        <v>606.9089782093356</v>
      </c>
      <c r="DN30" s="25">
        <v>591.2668434793693</v>
      </c>
      <c r="DO30" s="25">
        <v>549.03344136892997</v>
      </c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</row>
    <row r="31" spans="1:142" x14ac:dyDescent="0.25">
      <c r="A31" s="119">
        <f t="shared" si="11"/>
        <v>8.7456392439449835E-3</v>
      </c>
      <c r="B31" s="73">
        <v>23</v>
      </c>
      <c r="C31" s="74" t="s">
        <v>348</v>
      </c>
      <c r="D31" s="87">
        <v>9.7869999999999988E-4</v>
      </c>
      <c r="E31" s="24">
        <f t="shared" si="12"/>
        <v>7.9410285120815275E-3</v>
      </c>
      <c r="G31" s="25"/>
      <c r="H31" s="25"/>
      <c r="I31" s="25">
        <v>422.56463122044408</v>
      </c>
      <c r="J31" s="25">
        <v>397.78149677791492</v>
      </c>
      <c r="K31" s="25">
        <v>410.35500999383322</v>
      </c>
      <c r="L31" s="25">
        <v>412.33617728848492</v>
      </c>
      <c r="M31" s="25">
        <v>375.98756489642642</v>
      </c>
      <c r="N31" s="25">
        <v>345.2687445075241</v>
      </c>
      <c r="O31" s="25">
        <v>508.52760394337372</v>
      </c>
      <c r="P31" s="25">
        <v>577.52896523497338</v>
      </c>
      <c r="Q31" s="25">
        <v>666.86537627218854</v>
      </c>
      <c r="R31" s="25">
        <v>611.25034227392666</v>
      </c>
      <c r="S31" s="25">
        <v>600.73377463566158</v>
      </c>
      <c r="T31" s="25">
        <v>623.2296789266544</v>
      </c>
      <c r="U31" s="25">
        <v>618.87791164895714</v>
      </c>
      <c r="V31" s="25">
        <v>578.82501448190101</v>
      </c>
      <c r="W31" s="25">
        <v>675.11445520129791</v>
      </c>
      <c r="X31" s="25">
        <v>876.04509484027005</v>
      </c>
      <c r="Y31" s="25">
        <v>1075.7011322848909</v>
      </c>
      <c r="Z31" s="25">
        <v>1221.18654994552</v>
      </c>
      <c r="AA31" s="25">
        <v>1344.578428091743</v>
      </c>
      <c r="AB31" s="25">
        <v>1476.089580542626</v>
      </c>
      <c r="AC31" s="25">
        <v>1634.594093762684</v>
      </c>
      <c r="AD31" s="25">
        <v>976.43603064711431</v>
      </c>
      <c r="AE31" s="25">
        <v>730.72639128416085</v>
      </c>
      <c r="AF31" s="25">
        <v>559.9037276808981</v>
      </c>
      <c r="AG31" s="25">
        <v>515.31305353683956</v>
      </c>
      <c r="AH31" s="25">
        <v>503.72856962578737</v>
      </c>
      <c r="AI31" s="25">
        <v>499.51242493393772</v>
      </c>
      <c r="AJ31" s="25">
        <v>496.83086911960339</v>
      </c>
      <c r="AK31" s="25">
        <v>487.77522123643439</v>
      </c>
      <c r="AL31" s="25">
        <v>537.73156430554309</v>
      </c>
      <c r="AM31" s="25">
        <v>553.68502486211821</v>
      </c>
      <c r="AN31" s="25">
        <v>915.00645510059826</v>
      </c>
      <c r="AO31" s="25">
        <v>1005.546044332341</v>
      </c>
      <c r="AP31" s="25">
        <v>836.19197816530459</v>
      </c>
      <c r="AQ31" s="25">
        <v>711.81723914437316</v>
      </c>
      <c r="AR31" s="25">
        <v>634.06206448450769</v>
      </c>
      <c r="AS31" s="25">
        <v>593.87900110215901</v>
      </c>
      <c r="AT31" s="25">
        <v>512.83490687202004</v>
      </c>
      <c r="AU31" s="25">
        <v>465.95543657763858</v>
      </c>
      <c r="AV31" s="25">
        <v>481.3410318607439</v>
      </c>
      <c r="AW31" s="25">
        <v>499.22675167189641</v>
      </c>
      <c r="AX31" s="25">
        <v>412.95030452507763</v>
      </c>
      <c r="AY31" s="25">
        <v>446.90999600081398</v>
      </c>
      <c r="AZ31" s="25">
        <v>655.9929244444404</v>
      </c>
      <c r="BA31" s="25">
        <v>788.31665834939565</v>
      </c>
      <c r="BB31" s="25">
        <v>789.32076439462389</v>
      </c>
      <c r="BC31" s="25">
        <v>740.26433229621534</v>
      </c>
      <c r="BD31" s="25">
        <v>694.65219013142053</v>
      </c>
      <c r="BE31" s="25">
        <v>657.26747780440144</v>
      </c>
      <c r="BF31" s="25">
        <v>687.40495587387943</v>
      </c>
      <c r="BG31" s="25">
        <v>695.21769294856858</v>
      </c>
      <c r="BH31" s="25">
        <v>661.41384953169018</v>
      </c>
      <c r="BI31" s="25">
        <v>635.59388903788044</v>
      </c>
      <c r="BJ31" s="25">
        <v>792.43895330647331</v>
      </c>
      <c r="BK31" s="25">
        <v>1014.3543658957969</v>
      </c>
      <c r="BL31" s="25">
        <v>1351.431324285021</v>
      </c>
      <c r="BM31" s="25">
        <v>1405.884577996793</v>
      </c>
      <c r="BN31" s="25">
        <v>1276.059893340926</v>
      </c>
      <c r="BO31" s="25">
        <v>1118.153387928588</v>
      </c>
      <c r="BP31" s="25">
        <v>895.08940583241974</v>
      </c>
      <c r="BQ31" s="25">
        <v>845.43714847302419</v>
      </c>
      <c r="BR31" s="25">
        <v>747.38820880798664</v>
      </c>
      <c r="BS31" s="25">
        <v>684.44652371159464</v>
      </c>
      <c r="BT31" s="25">
        <v>669.90401366860056</v>
      </c>
      <c r="BU31" s="25">
        <v>650.30898544476304</v>
      </c>
      <c r="BV31" s="25">
        <v>676.38484978909185</v>
      </c>
      <c r="BW31" s="25">
        <v>724.98421555008701</v>
      </c>
      <c r="BX31" s="25">
        <v>1041.7998953085321</v>
      </c>
      <c r="BY31" s="25">
        <v>1377.4434311537809</v>
      </c>
      <c r="BZ31" s="25">
        <v>1352.4925808875589</v>
      </c>
      <c r="CA31" s="25">
        <v>882.71999647121447</v>
      </c>
      <c r="CB31" s="25">
        <v>862.5521624882947</v>
      </c>
      <c r="CC31" s="25">
        <v>755.05884009543558</v>
      </c>
      <c r="CD31" s="25">
        <v>756.37707359189699</v>
      </c>
      <c r="CE31" s="25">
        <v>718.94227012806311</v>
      </c>
      <c r="CF31" s="25">
        <v>740.07565421503421</v>
      </c>
      <c r="CG31" s="25">
        <v>715.17188008699293</v>
      </c>
      <c r="CH31" s="25">
        <v>710.47747880966915</v>
      </c>
      <c r="CI31" s="25">
        <v>856.84262370280612</v>
      </c>
      <c r="CJ31" s="25">
        <v>967.17561423805785</v>
      </c>
      <c r="CK31" s="25">
        <v>1021.211797530433</v>
      </c>
      <c r="CL31" s="25">
        <v>961.23150691088063</v>
      </c>
      <c r="CM31" s="25">
        <v>787.72380324134792</v>
      </c>
      <c r="CN31" s="25">
        <v>747.22527439773125</v>
      </c>
      <c r="CO31" s="25">
        <v>747.44493715246381</v>
      </c>
      <c r="CP31" s="25">
        <v>756.43212954079763</v>
      </c>
      <c r="CQ31" s="25">
        <v>733.47699562709465</v>
      </c>
      <c r="CR31" s="25">
        <v>766.6086690641431</v>
      </c>
      <c r="CS31" s="25">
        <v>923.93830313793183</v>
      </c>
      <c r="CT31" s="25">
        <v>1010.953745928721</v>
      </c>
      <c r="CU31" s="25">
        <v>1058.880561020595</v>
      </c>
      <c r="CV31" s="25">
        <v>1156.555004001571</v>
      </c>
      <c r="CW31" s="25">
        <v>1516.904000172008</v>
      </c>
      <c r="CX31" s="25">
        <v>1651.484743304371</v>
      </c>
      <c r="CY31" s="25">
        <v>1178.891024962456</v>
      </c>
      <c r="CZ31" s="25">
        <v>1035.6680331523939</v>
      </c>
      <c r="DA31" s="25">
        <v>913.69469854135491</v>
      </c>
      <c r="DB31" s="25">
        <v>944.59400019322811</v>
      </c>
      <c r="DC31" s="25">
        <v>944.06351176358328</v>
      </c>
      <c r="DD31" s="25">
        <v>956.96788288820005</v>
      </c>
      <c r="DE31" s="25">
        <v>1214.86350823618</v>
      </c>
      <c r="DF31" s="25">
        <v>1233.5613948041059</v>
      </c>
      <c r="DG31" s="25">
        <v>1383.684488822925</v>
      </c>
      <c r="DH31" s="25">
        <v>1523.11841242077</v>
      </c>
      <c r="DI31" s="25">
        <v>1479.4611032480141</v>
      </c>
      <c r="DJ31" s="25">
        <v>1116.8819858051361</v>
      </c>
      <c r="DK31" s="25">
        <v>1035.301667741576</v>
      </c>
      <c r="DL31" s="25">
        <v>929.6582155782155</v>
      </c>
      <c r="DM31" s="25">
        <v>910.30020327296586</v>
      </c>
      <c r="DN31" s="25">
        <v>933.53401152458446</v>
      </c>
      <c r="DO31" s="25">
        <v>926.44223529741669</v>
      </c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</row>
    <row r="32" spans="1:142" x14ac:dyDescent="0.25">
      <c r="A32" s="119">
        <f t="shared" si="11"/>
        <v>3.4340953933258991E-3</v>
      </c>
      <c r="B32" s="73">
        <v>24</v>
      </c>
      <c r="C32" s="74" t="s">
        <v>350</v>
      </c>
      <c r="D32" s="87">
        <v>3.8430000000000002E-4</v>
      </c>
      <c r="E32" s="24">
        <f t="shared" si="12"/>
        <v>3.1181539360303789E-3</v>
      </c>
      <c r="G32" s="25"/>
      <c r="H32" s="25"/>
      <c r="I32" s="25"/>
      <c r="J32" s="25"/>
      <c r="K32" s="25">
        <v>144.4795547543612</v>
      </c>
      <c r="L32" s="25">
        <v>176.4060616289745</v>
      </c>
      <c r="M32" s="25">
        <v>212.65141309872831</v>
      </c>
      <c r="N32" s="25">
        <v>248.07103725087671</v>
      </c>
      <c r="O32" s="25">
        <v>261.34317983803493</v>
      </c>
      <c r="P32" s="25">
        <v>242.92776277001829</v>
      </c>
      <c r="Q32" s="25">
        <v>206.95220830251901</v>
      </c>
      <c r="R32" s="25">
        <v>139.98264214263651</v>
      </c>
      <c r="S32" s="25">
        <v>119.6707575078003</v>
      </c>
      <c r="T32" s="25">
        <v>141.55951177775671</v>
      </c>
      <c r="U32" s="25">
        <v>147.34017050627531</v>
      </c>
      <c r="V32" s="25">
        <v>135.2946754566631</v>
      </c>
      <c r="W32" s="25">
        <v>157.28755413744349</v>
      </c>
      <c r="X32" s="25">
        <v>218.83386243685931</v>
      </c>
      <c r="Y32" s="25">
        <v>282.25208918545218</v>
      </c>
      <c r="Z32" s="25">
        <v>267.80808772724367</v>
      </c>
      <c r="AA32" s="25">
        <v>292.58711918636692</v>
      </c>
      <c r="AB32" s="25">
        <v>277.64547450998617</v>
      </c>
      <c r="AC32" s="25">
        <v>186.33490512033501</v>
      </c>
      <c r="AD32" s="25">
        <v>138.65979209429071</v>
      </c>
      <c r="AE32" s="25">
        <v>143.85931943570239</v>
      </c>
      <c r="AF32" s="25">
        <v>148.6194040896429</v>
      </c>
      <c r="AG32" s="25">
        <v>156.9094058368114</v>
      </c>
      <c r="AH32" s="25">
        <v>165.49825490469809</v>
      </c>
      <c r="AI32" s="25">
        <v>268.61843787801968</v>
      </c>
      <c r="AJ32" s="25">
        <v>309.82963311989079</v>
      </c>
      <c r="AK32" s="25">
        <v>295.34009631714417</v>
      </c>
      <c r="AL32" s="25">
        <v>350.5541425065523</v>
      </c>
      <c r="AM32" s="25">
        <v>355.93654739484981</v>
      </c>
      <c r="AN32" s="25">
        <v>348.55255481097112</v>
      </c>
      <c r="AO32" s="25">
        <v>192.36687858848251</v>
      </c>
      <c r="AP32" s="25">
        <v>133.43347963616441</v>
      </c>
      <c r="AQ32" s="25">
        <v>126.4980505921064</v>
      </c>
      <c r="AR32" s="25">
        <v>134.74243700392381</v>
      </c>
      <c r="AS32" s="25">
        <v>177.48962022037179</v>
      </c>
      <c r="AT32" s="25">
        <v>162.7563732385839</v>
      </c>
      <c r="AU32" s="25">
        <v>195.9520071117974</v>
      </c>
      <c r="AV32" s="25">
        <v>225.16273612735051</v>
      </c>
      <c r="AW32" s="25">
        <v>264.52959034091879</v>
      </c>
      <c r="AX32" s="25">
        <v>323.0632742509045</v>
      </c>
      <c r="AY32" s="25">
        <v>344.50894920387333</v>
      </c>
      <c r="AZ32" s="25">
        <v>304.72803044530332</v>
      </c>
      <c r="BA32" s="25">
        <v>203.26111608899441</v>
      </c>
      <c r="BB32" s="25">
        <v>155.01896379169861</v>
      </c>
      <c r="BC32" s="25">
        <v>152.66421769266611</v>
      </c>
      <c r="BD32" s="25">
        <v>162.44826426672921</v>
      </c>
      <c r="BE32" s="25">
        <v>169.93380166915901</v>
      </c>
      <c r="BF32" s="25">
        <v>152.09530884240141</v>
      </c>
      <c r="BG32" s="25">
        <v>181.56761368143859</v>
      </c>
      <c r="BH32" s="25">
        <v>226.65083382933199</v>
      </c>
      <c r="BI32" s="25">
        <v>253.61754853848601</v>
      </c>
      <c r="BJ32" s="25">
        <v>246.50847596941949</v>
      </c>
      <c r="BK32" s="25">
        <v>293.25534786939659</v>
      </c>
      <c r="BL32" s="25">
        <v>302.81222386344029</v>
      </c>
      <c r="BM32" s="25">
        <v>206.06924996159341</v>
      </c>
      <c r="BN32" s="25">
        <v>178.9803542656492</v>
      </c>
      <c r="BO32" s="25">
        <v>206.7908513691572</v>
      </c>
      <c r="BP32" s="25">
        <v>228.31236971373681</v>
      </c>
      <c r="BQ32" s="25">
        <v>266.8286252454746</v>
      </c>
      <c r="BR32" s="25">
        <v>231.62237278866689</v>
      </c>
      <c r="BS32" s="25">
        <v>266.68564311283592</v>
      </c>
      <c r="BT32" s="25">
        <v>386.75989667620462</v>
      </c>
      <c r="BU32" s="25">
        <v>366.16281488782028</v>
      </c>
      <c r="BV32" s="25">
        <v>361.50963799275468</v>
      </c>
      <c r="BW32" s="25">
        <v>374.24054355871459</v>
      </c>
      <c r="BX32" s="25">
        <v>453.9847905311633</v>
      </c>
      <c r="BY32" s="25">
        <v>325.18981518662019</v>
      </c>
      <c r="BZ32" s="25">
        <v>228.76166362511469</v>
      </c>
      <c r="CA32" s="25">
        <v>230.75850829116911</v>
      </c>
      <c r="CB32" s="25">
        <v>208.16373175711649</v>
      </c>
      <c r="CC32" s="25">
        <v>233.98501554258999</v>
      </c>
      <c r="CD32" s="25">
        <v>226.81711666676529</v>
      </c>
      <c r="CE32" s="25">
        <v>270.96124825123911</v>
      </c>
      <c r="CF32" s="25">
        <v>272.87984131632209</v>
      </c>
      <c r="CG32" s="25">
        <v>301.99102980799</v>
      </c>
      <c r="CH32" s="25">
        <v>335.44901308211712</v>
      </c>
      <c r="CI32" s="25">
        <v>370.99476418813589</v>
      </c>
      <c r="CJ32" s="25">
        <v>348.677618337951</v>
      </c>
      <c r="CK32" s="25">
        <v>292.44496378769918</v>
      </c>
      <c r="CL32" s="25">
        <v>262.77080142464251</v>
      </c>
      <c r="CM32" s="25">
        <v>265.95168842043933</v>
      </c>
      <c r="CN32" s="25">
        <v>265.56402280314899</v>
      </c>
      <c r="CO32" s="25">
        <v>270.76770869099028</v>
      </c>
      <c r="CP32" s="25">
        <v>247.81813741363271</v>
      </c>
      <c r="CQ32" s="25">
        <v>260.89158075945312</v>
      </c>
      <c r="CR32" s="25">
        <v>303.6748550213357</v>
      </c>
      <c r="CS32" s="25">
        <v>325.71936012228241</v>
      </c>
      <c r="CT32" s="25">
        <v>374.25584628705508</v>
      </c>
      <c r="CU32" s="25">
        <v>423.38046502135433</v>
      </c>
      <c r="CV32" s="25">
        <v>418.01663223401818</v>
      </c>
      <c r="CW32" s="25">
        <v>324.47073216823082</v>
      </c>
      <c r="CX32" s="25">
        <v>289.7310428109152</v>
      </c>
      <c r="CY32" s="25">
        <v>311.97916416770317</v>
      </c>
      <c r="CZ32" s="25">
        <v>283.84746815799969</v>
      </c>
      <c r="DA32" s="25">
        <v>301.6201839297791</v>
      </c>
      <c r="DB32" s="25">
        <v>304.55190092258772</v>
      </c>
      <c r="DC32" s="25">
        <v>354.48240701370548</v>
      </c>
      <c r="DD32" s="25">
        <v>397.76254380304482</v>
      </c>
      <c r="DE32" s="25">
        <v>382.15552353941467</v>
      </c>
      <c r="DF32" s="25">
        <v>403.50419665929968</v>
      </c>
      <c r="DG32" s="25">
        <v>413.23253653837708</v>
      </c>
      <c r="DH32" s="25">
        <v>355.11534527063401</v>
      </c>
      <c r="DI32" s="25">
        <v>287.14304622596512</v>
      </c>
      <c r="DJ32" s="25">
        <v>292.16234691098578</v>
      </c>
      <c r="DK32" s="25">
        <v>286.85263445578829</v>
      </c>
      <c r="DL32" s="25">
        <v>294.29763484721349</v>
      </c>
      <c r="DM32" s="25">
        <v>314.05457644734349</v>
      </c>
      <c r="DN32" s="25">
        <v>306.03934039434961</v>
      </c>
      <c r="DO32" s="25">
        <v>291.42439731167218</v>
      </c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</row>
    <row r="33" spans="1:142" x14ac:dyDescent="0.25">
      <c r="A33" s="119">
        <f t="shared" si="11"/>
        <v>2.983811586743302E-2</v>
      </c>
      <c r="B33" s="75">
        <v>25</v>
      </c>
      <c r="C33" s="76" t="s">
        <v>354</v>
      </c>
      <c r="D33" s="88">
        <v>3.3390999999999998E-3</v>
      </c>
      <c r="E33" s="28">
        <f t="shared" si="12"/>
        <v>2.7092968534475768E-2</v>
      </c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>
        <v>1429.3055308191499</v>
      </c>
      <c r="BP33" s="29">
        <v>1416.2485979161329</v>
      </c>
      <c r="BQ33" s="29">
        <v>1420.6359946052739</v>
      </c>
      <c r="BR33" s="29">
        <v>1447.3427468316579</v>
      </c>
      <c r="BS33" s="29">
        <v>1449.135566745819</v>
      </c>
      <c r="BT33" s="29">
        <v>1472.3503438908749</v>
      </c>
      <c r="BU33" s="29">
        <v>1496.939668220919</v>
      </c>
      <c r="BV33" s="29">
        <v>1506.023884027951</v>
      </c>
      <c r="BW33" s="29">
        <v>1494.8019046544021</v>
      </c>
      <c r="BX33" s="29">
        <v>1518.242572744939</v>
      </c>
      <c r="BY33" s="29">
        <v>1511.7062846612071</v>
      </c>
      <c r="BZ33" s="29">
        <v>1522.8445234246451</v>
      </c>
      <c r="CA33" s="29">
        <v>1487.861991246808</v>
      </c>
      <c r="CB33" s="29">
        <v>1509.672537132443</v>
      </c>
      <c r="CC33" s="29">
        <v>1529.8831298826899</v>
      </c>
      <c r="CD33" s="29">
        <v>1516.9342253106111</v>
      </c>
      <c r="CE33" s="29">
        <v>1548.0365555266619</v>
      </c>
      <c r="CF33" s="29">
        <v>1621.265351448164</v>
      </c>
      <c r="CG33" s="29">
        <v>1673.072324330803</v>
      </c>
      <c r="CH33" s="29">
        <v>1699.713420689272</v>
      </c>
      <c r="CI33" s="29">
        <v>1700.659115683291</v>
      </c>
      <c r="CJ33" s="29">
        <v>1725.085819844503</v>
      </c>
      <c r="CK33" s="29">
        <v>1733.282235130637</v>
      </c>
      <c r="CL33" s="29">
        <v>1745.9487721043599</v>
      </c>
      <c r="CM33" s="29">
        <v>1737.9669988290759</v>
      </c>
      <c r="CN33" s="29">
        <v>1733.5115532997411</v>
      </c>
      <c r="CO33" s="29">
        <v>1739.47764558215</v>
      </c>
      <c r="CP33" s="29">
        <v>1757.278832112866</v>
      </c>
      <c r="CQ33" s="29">
        <v>1794.8153828359141</v>
      </c>
      <c r="CR33" s="29">
        <v>1856.679319806567</v>
      </c>
      <c r="CS33" s="29">
        <v>1908.1325908034339</v>
      </c>
      <c r="CT33" s="29">
        <v>1908.0664573982681</v>
      </c>
      <c r="CU33" s="29">
        <v>1890.862785067992</v>
      </c>
      <c r="CV33" s="29">
        <v>1865.883546514011</v>
      </c>
      <c r="CW33" s="29">
        <v>1851.2964476773809</v>
      </c>
      <c r="CX33" s="29">
        <v>1859.9522491080611</v>
      </c>
      <c r="CY33" s="29">
        <v>1859.0445357972631</v>
      </c>
      <c r="CZ33" s="29">
        <v>1841.334744739888</v>
      </c>
      <c r="DA33" s="29">
        <v>1866.270861829614</v>
      </c>
      <c r="DB33" s="29">
        <v>1863.7771071584541</v>
      </c>
      <c r="DC33" s="29">
        <v>1854.147719000988</v>
      </c>
      <c r="DD33" s="29">
        <v>1855.0405005225839</v>
      </c>
      <c r="DE33" s="29">
        <v>1850.9325071587509</v>
      </c>
      <c r="DF33" s="29">
        <v>1847.75454082174</v>
      </c>
      <c r="DG33" s="29">
        <v>1851.125782629214</v>
      </c>
      <c r="DH33" s="29">
        <v>1850.1356319027821</v>
      </c>
      <c r="DI33" s="29">
        <v>1849.6634473644599</v>
      </c>
      <c r="DJ33" s="29">
        <v>1847.949887828212</v>
      </c>
      <c r="DK33" s="29">
        <v>1838.987865973327</v>
      </c>
      <c r="DL33" s="29">
        <v>1826.8005777432279</v>
      </c>
      <c r="DM33" s="29">
        <v>1825.1403076713179</v>
      </c>
      <c r="DN33" s="29">
        <v>1846.520320700005</v>
      </c>
      <c r="DO33" s="29">
        <v>1827.2615834725859</v>
      </c>
      <c r="DP33" s="29"/>
      <c r="DQ33" s="29"/>
      <c r="DR33" s="29"/>
      <c r="DS33" s="29"/>
      <c r="DT33" s="29"/>
      <c r="DU33" s="29"/>
      <c r="DV33" s="29"/>
      <c r="DW33" s="29"/>
      <c r="DX33" s="29"/>
      <c r="DY33" s="29"/>
      <c r="DZ33" s="29"/>
      <c r="EA33" s="29"/>
      <c r="EB33" s="29"/>
      <c r="EC33" s="29"/>
      <c r="ED33" s="29"/>
      <c r="EE33" s="29"/>
      <c r="EF33" s="29"/>
      <c r="EG33" s="29"/>
      <c r="EH33" s="29"/>
      <c r="EI33" s="29"/>
      <c r="EJ33" s="29"/>
      <c r="EK33" s="29"/>
      <c r="EL33" s="29"/>
    </row>
    <row r="34" spans="1:142" x14ac:dyDescent="0.25">
      <c r="A34" s="119">
        <f t="shared" si="11"/>
        <v>1.8007777873094852E-2</v>
      </c>
      <c r="B34" s="77">
        <v>26</v>
      </c>
      <c r="C34" s="78" t="s">
        <v>359</v>
      </c>
      <c r="D34" s="89">
        <v>2.0152E-3</v>
      </c>
      <c r="E34" s="32">
        <f t="shared" si="12"/>
        <v>1.6351037761874628E-2</v>
      </c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>
        <v>3136.5571038791759</v>
      </c>
      <c r="AG34" s="33">
        <v>3317.1981766217518</v>
      </c>
      <c r="AH34" s="33">
        <v>3299.670894102333</v>
      </c>
      <c r="AI34" s="33"/>
      <c r="AJ34" s="33">
        <v>3188.9800082864949</v>
      </c>
      <c r="AK34" s="33">
        <v>3215.113734919094</v>
      </c>
      <c r="AL34" s="33"/>
      <c r="AM34" s="33">
        <v>3227.2250249557919</v>
      </c>
      <c r="AN34" s="33">
        <v>3354.8046078327438</v>
      </c>
      <c r="AO34" s="33"/>
      <c r="AP34" s="33">
        <v>3311.159221942331</v>
      </c>
      <c r="AQ34" s="33">
        <v>3352.153932558515</v>
      </c>
      <c r="AR34" s="33"/>
      <c r="AS34" s="33">
        <v>3197.7587174782302</v>
      </c>
      <c r="AT34" s="33">
        <v>3330.7917690776439</v>
      </c>
      <c r="AU34" s="33"/>
      <c r="AV34" s="33">
        <v>3406.908929293912</v>
      </c>
      <c r="AW34" s="33">
        <v>3397.0724912884921</v>
      </c>
      <c r="AX34" s="33">
        <v>3454.6229311756529</v>
      </c>
      <c r="AY34" s="33">
        <v>3371.3508967992898</v>
      </c>
      <c r="AZ34" s="33"/>
      <c r="BA34" s="33">
        <v>3412.1092563073762</v>
      </c>
      <c r="BB34" s="33">
        <v>3427.0751124330582</v>
      </c>
      <c r="BC34" s="33"/>
      <c r="BD34" s="33">
        <v>3434.1628644069342</v>
      </c>
      <c r="BE34" s="33">
        <v>3435.930705228659</v>
      </c>
      <c r="BF34" s="33"/>
      <c r="BG34" s="33">
        <v>3394.1743559290412</v>
      </c>
      <c r="BH34" s="33">
        <v>3564.3842785789652</v>
      </c>
      <c r="BI34" s="33"/>
      <c r="BJ34" s="33">
        <v>3707.2953073329909</v>
      </c>
      <c r="BK34" s="33">
        <v>3631.2192161811931</v>
      </c>
      <c r="BL34" s="33">
        <v>3601.1068399835872</v>
      </c>
      <c r="BM34" s="33">
        <v>3512.0896088405671</v>
      </c>
      <c r="BN34" s="33">
        <v>3530.5388433523549</v>
      </c>
      <c r="BO34" s="33">
        <v>3534.6434850875721</v>
      </c>
      <c r="BP34" s="33">
        <v>3484.9591261961641</v>
      </c>
      <c r="BQ34" s="33">
        <v>3503.0948478334099</v>
      </c>
      <c r="BR34" s="33">
        <v>3449.3006783145029</v>
      </c>
      <c r="BS34" s="33">
        <v>3400.8373000599322</v>
      </c>
      <c r="BT34" s="33">
        <v>3336.002749088796</v>
      </c>
      <c r="BU34" s="33">
        <v>3374.8862891311978</v>
      </c>
      <c r="BV34" s="33">
        <v>3469.2588851510491</v>
      </c>
      <c r="BW34" s="33">
        <v>3467.7796700989179</v>
      </c>
      <c r="BX34" s="33">
        <v>3412.600659843748</v>
      </c>
      <c r="BY34" s="33">
        <v>3498.898090246731</v>
      </c>
      <c r="BZ34" s="33">
        <v>3429.5359053838129</v>
      </c>
      <c r="CA34" s="33">
        <v>3456.5010811423731</v>
      </c>
      <c r="CB34" s="33">
        <v>3515.6809047909528</v>
      </c>
      <c r="CC34" s="33">
        <v>3626.177110462691</v>
      </c>
      <c r="CD34" s="33">
        <v>3653.2772349677798</v>
      </c>
      <c r="CE34" s="33">
        <v>3675.4442610070651</v>
      </c>
      <c r="CF34" s="33">
        <v>3833.7159435812182</v>
      </c>
      <c r="CG34" s="33">
        <v>3818.775586681742</v>
      </c>
      <c r="CH34" s="33">
        <v>3750.5776594220388</v>
      </c>
      <c r="CI34" s="33">
        <v>3667.7822987998211</v>
      </c>
      <c r="CJ34" s="33">
        <v>3867.3272090681849</v>
      </c>
      <c r="CK34" s="33">
        <v>3893.4338197205998</v>
      </c>
      <c r="CL34" s="33">
        <v>3803.816301619936</v>
      </c>
      <c r="CM34" s="33">
        <v>3856.089841910718</v>
      </c>
      <c r="CN34" s="33">
        <v>3843.2768552572052</v>
      </c>
      <c r="CO34" s="33">
        <v>3871.832005000198</v>
      </c>
      <c r="CP34" s="33">
        <v>3837.2752629628112</v>
      </c>
      <c r="CQ34" s="33">
        <v>3829.0829774708441</v>
      </c>
      <c r="CR34" s="33">
        <v>3898.2344907490551</v>
      </c>
      <c r="CS34" s="33">
        <v>4014.2592532143108</v>
      </c>
      <c r="CT34" s="33">
        <v>3905.9071359643408</v>
      </c>
      <c r="CU34" s="33">
        <v>3886.3684386361651</v>
      </c>
      <c r="CV34" s="33">
        <v>3900.648234828875</v>
      </c>
      <c r="CW34" s="33">
        <v>3942.1011190295021</v>
      </c>
      <c r="CX34" s="33">
        <v>3970.0168290742508</v>
      </c>
      <c r="CY34" s="33">
        <v>4007.8740521432519</v>
      </c>
      <c r="CZ34" s="33">
        <v>4089.3639941454412</v>
      </c>
      <c r="DA34" s="33">
        <v>4045.9259580300832</v>
      </c>
      <c r="DB34" s="33">
        <v>3960.6088542416292</v>
      </c>
      <c r="DC34" s="33">
        <v>3930.8475694389558</v>
      </c>
      <c r="DD34" s="33">
        <v>3910.2784180844019</v>
      </c>
      <c r="DE34" s="33">
        <v>4031.5606335441462</v>
      </c>
      <c r="DF34" s="33">
        <v>4044.953345908993</v>
      </c>
      <c r="DG34" s="33">
        <v>4016.7354403515128</v>
      </c>
      <c r="DH34" s="33">
        <v>4024.859074533274</v>
      </c>
      <c r="DI34" s="33">
        <v>4062.2650733140922</v>
      </c>
      <c r="DJ34" s="33">
        <v>3897.3703472593038</v>
      </c>
      <c r="DK34" s="33">
        <v>3973.696409588239</v>
      </c>
      <c r="DL34" s="33">
        <v>4072.0229517197299</v>
      </c>
      <c r="DM34" s="33">
        <v>4145.9042463360602</v>
      </c>
      <c r="DN34" s="33">
        <v>4269.4340177964177</v>
      </c>
      <c r="DO34" s="33">
        <v>4221.7624811279247</v>
      </c>
      <c r="DP34" s="33"/>
      <c r="DQ34" s="33"/>
      <c r="DR34" s="33"/>
      <c r="DS34" s="33"/>
      <c r="DT34" s="33"/>
      <c r="DU34" s="33"/>
      <c r="DV34" s="33"/>
      <c r="DW34" s="33"/>
      <c r="DX34" s="33"/>
      <c r="DY34" s="33"/>
      <c r="DZ34" s="33"/>
      <c r="EA34" s="33"/>
      <c r="EB34" s="33"/>
      <c r="EC34" s="33"/>
      <c r="ED34" s="33"/>
      <c r="EE34" s="33"/>
      <c r="EF34" s="33"/>
      <c r="EG34" s="33"/>
      <c r="EH34" s="33"/>
      <c r="EI34" s="33"/>
      <c r="EJ34" s="33"/>
      <c r="EK34" s="33"/>
      <c r="EL34" s="33"/>
    </row>
    <row r="35" spans="1:142" x14ac:dyDescent="0.25">
      <c r="A35" s="119">
        <f t="shared" si="11"/>
        <v>4.3740706585456528E-2</v>
      </c>
      <c r="B35" s="79">
        <v>27</v>
      </c>
      <c r="C35" s="80" t="s">
        <v>364</v>
      </c>
      <c r="D35" s="90">
        <v>4.8948999999999998E-3</v>
      </c>
      <c r="E35" s="36">
        <f t="shared" si="12"/>
        <v>3.9716501955438722E-2</v>
      </c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>
        <v>566.85944392420947</v>
      </c>
      <c r="Z35" s="37"/>
      <c r="AA35" s="37">
        <v>585.43618766587724</v>
      </c>
      <c r="AB35" s="37">
        <v>576.43700111081387</v>
      </c>
      <c r="AC35" s="37"/>
      <c r="AD35" s="37">
        <v>565.88403195425235</v>
      </c>
      <c r="AE35" s="37">
        <v>563.04027386205598</v>
      </c>
      <c r="AF35" s="37">
        <v>550.05911507539724</v>
      </c>
      <c r="AG35" s="37">
        <v>551.98116857357991</v>
      </c>
      <c r="AH35" s="37">
        <v>552.17915293892941</v>
      </c>
      <c r="AI35" s="37"/>
      <c r="AJ35" s="37">
        <v>563.32907443944487</v>
      </c>
      <c r="AK35" s="37">
        <v>573.31959914867093</v>
      </c>
      <c r="AL35" s="37"/>
      <c r="AM35" s="37">
        <v>588.92522578462592</v>
      </c>
      <c r="AN35" s="37">
        <v>597.69742883941058</v>
      </c>
      <c r="AO35" s="37"/>
      <c r="AP35" s="37">
        <v>576.95570777852595</v>
      </c>
      <c r="AQ35" s="37">
        <v>575.71699610108067</v>
      </c>
      <c r="AR35" s="37"/>
      <c r="AS35" s="37">
        <v>582.97735337858956</v>
      </c>
      <c r="AT35" s="37">
        <v>611.694079649787</v>
      </c>
      <c r="AU35" s="37"/>
      <c r="AV35" s="37">
        <v>628.77321975504606</v>
      </c>
      <c r="AW35" s="37">
        <v>650.14362345204222</v>
      </c>
      <c r="AX35" s="37">
        <v>636.39351873853684</v>
      </c>
      <c r="AY35" s="37">
        <v>638.56655600131762</v>
      </c>
      <c r="AZ35" s="37"/>
      <c r="BA35" s="37">
        <v>642.31413943598375</v>
      </c>
      <c r="BB35" s="37">
        <v>636.4729729576195</v>
      </c>
      <c r="BC35" s="37"/>
      <c r="BD35" s="37">
        <v>639.40691328172625</v>
      </c>
      <c r="BE35" s="37">
        <v>642.44290054987027</v>
      </c>
      <c r="BF35" s="37"/>
      <c r="BG35" s="37">
        <v>642.94830103842173</v>
      </c>
      <c r="BH35" s="37">
        <v>648.57163876317657</v>
      </c>
      <c r="BI35" s="37"/>
      <c r="BJ35" s="37">
        <v>656.62344298571236</v>
      </c>
      <c r="BK35" s="37">
        <v>669.32102910844299</v>
      </c>
      <c r="BL35" s="37">
        <v>647.62648407776612</v>
      </c>
      <c r="BM35" s="37">
        <v>635.51197860237903</v>
      </c>
      <c r="BN35" s="37">
        <v>634.56123039760337</v>
      </c>
      <c r="BO35" s="37">
        <v>628.68672836334156</v>
      </c>
      <c r="BP35" s="37">
        <v>629.57623833352352</v>
      </c>
      <c r="BQ35" s="37">
        <v>638.04732499617921</v>
      </c>
      <c r="BR35" s="37">
        <v>640.7455642733953</v>
      </c>
      <c r="BS35" s="37">
        <v>645.64956821459202</v>
      </c>
      <c r="BT35" s="37">
        <v>648.01163982635944</v>
      </c>
      <c r="BU35" s="37">
        <v>646.06528142575326</v>
      </c>
      <c r="BV35" s="37">
        <v>640.0241494311316</v>
      </c>
      <c r="BW35" s="37">
        <v>643.3318534401634</v>
      </c>
      <c r="BX35" s="37">
        <v>654.49465572154963</v>
      </c>
      <c r="BY35" s="37">
        <v>650.09546524713551</v>
      </c>
      <c r="BZ35" s="37">
        <v>645.47212086469528</v>
      </c>
      <c r="CA35" s="37">
        <v>651.68067623175659</v>
      </c>
      <c r="CB35" s="37">
        <v>661.46243851826227</v>
      </c>
      <c r="CC35" s="37">
        <v>675.56462970491759</v>
      </c>
      <c r="CD35" s="37">
        <v>685.4668283352795</v>
      </c>
      <c r="CE35" s="37">
        <v>703.80578982429188</v>
      </c>
      <c r="CF35" s="37">
        <v>708.63205105418456</v>
      </c>
      <c r="CG35" s="37">
        <v>714.04255277420089</v>
      </c>
      <c r="CH35" s="37">
        <v>715.30577548508904</v>
      </c>
      <c r="CI35" s="37">
        <v>716.27956607162696</v>
      </c>
      <c r="CJ35" s="37">
        <v>705.27619597608043</v>
      </c>
      <c r="CK35" s="37">
        <v>706.07717500171191</v>
      </c>
      <c r="CL35" s="37">
        <v>702.29627641461764</v>
      </c>
      <c r="CM35" s="37">
        <v>699.72094584447029</v>
      </c>
      <c r="CN35" s="37">
        <v>699.58826314924886</v>
      </c>
      <c r="CO35" s="37">
        <v>701.95319193622299</v>
      </c>
      <c r="CP35" s="37">
        <v>731.29868418412491</v>
      </c>
      <c r="CQ35" s="37">
        <v>755.99035899782245</v>
      </c>
      <c r="CR35" s="37">
        <v>786.47376709170874</v>
      </c>
      <c r="CS35" s="37">
        <v>797.45076813396656</v>
      </c>
      <c r="CT35" s="37">
        <v>802.71966690301065</v>
      </c>
      <c r="CU35" s="37">
        <v>797.0699187288476</v>
      </c>
      <c r="CV35" s="37">
        <v>796.68548779058642</v>
      </c>
      <c r="CW35" s="37">
        <v>778.32854595899414</v>
      </c>
      <c r="CX35" s="37">
        <v>746.28533878479857</v>
      </c>
      <c r="CY35" s="37">
        <v>733.74182837495459</v>
      </c>
      <c r="CZ35" s="37">
        <v>712.48591037811059</v>
      </c>
      <c r="DA35" s="37">
        <v>704.77982491438138</v>
      </c>
      <c r="DB35" s="37">
        <v>725.4908495751115</v>
      </c>
      <c r="DC35" s="37">
        <v>724.66992552899785</v>
      </c>
      <c r="DD35" s="37">
        <v>743.30687511202359</v>
      </c>
      <c r="DE35" s="37">
        <v>766.89855053849556</v>
      </c>
      <c r="DF35" s="37">
        <v>772.65538598599346</v>
      </c>
      <c r="DG35" s="37">
        <v>756.71703070885121</v>
      </c>
      <c r="DH35" s="37">
        <v>758.35295166373908</v>
      </c>
      <c r="DI35" s="37">
        <v>754.30081137169418</v>
      </c>
      <c r="DJ35" s="37">
        <v>747.45225360941356</v>
      </c>
      <c r="DK35" s="37">
        <v>758.02785588939366</v>
      </c>
      <c r="DL35" s="37">
        <v>770.45168309366363</v>
      </c>
      <c r="DM35" s="37">
        <v>769.31007991196748</v>
      </c>
      <c r="DN35" s="37">
        <v>788.5698068007556</v>
      </c>
      <c r="DO35" s="37">
        <v>765.39027487772148</v>
      </c>
      <c r="DP35" s="37"/>
      <c r="DQ35" s="37"/>
      <c r="DR35" s="37"/>
      <c r="DS35" s="37"/>
      <c r="DT35" s="37"/>
      <c r="DU35" s="37"/>
      <c r="DV35" s="37"/>
      <c r="DW35" s="37"/>
      <c r="DX35" s="37"/>
      <c r="DY35" s="37"/>
      <c r="DZ35" s="37"/>
      <c r="EA35" s="37"/>
      <c r="EB35" s="37"/>
      <c r="EC35" s="37"/>
      <c r="ED35" s="37"/>
      <c r="EE35" s="37"/>
      <c r="EF35" s="37"/>
      <c r="EG35" s="37"/>
      <c r="EH35" s="37"/>
      <c r="EI35" s="37"/>
      <c r="EJ35" s="37"/>
      <c r="EK35" s="37"/>
      <c r="EL35" s="37"/>
    </row>
    <row r="36" spans="1:142" x14ac:dyDescent="0.25">
      <c r="A36" s="119">
        <f t="shared" si="11"/>
        <v>1.10037602584999E-2</v>
      </c>
      <c r="B36" s="79">
        <v>28</v>
      </c>
      <c r="C36" s="80" t="s">
        <v>368</v>
      </c>
      <c r="D36" s="90">
        <v>1.2313999999999999E-3</v>
      </c>
      <c r="E36" s="36">
        <f t="shared" si="12"/>
        <v>9.9913993151907569E-3</v>
      </c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>
        <v>1103.7176524738909</v>
      </c>
      <c r="BP36" s="37">
        <v>1128.1409801439161</v>
      </c>
      <c r="BQ36" s="37">
        <v>1121.365140072234</v>
      </c>
      <c r="BR36" s="37">
        <v>1118.9847431188391</v>
      </c>
      <c r="BS36" s="37">
        <v>1111.5038389495201</v>
      </c>
      <c r="BT36" s="37">
        <v>1118.137013361348</v>
      </c>
      <c r="BU36" s="37">
        <v>1126.4655324089979</v>
      </c>
      <c r="BV36" s="37">
        <v>1146.4164379544079</v>
      </c>
      <c r="BW36" s="37">
        <v>1148.8209964929349</v>
      </c>
      <c r="BX36" s="37">
        <v>1154.816262215491</v>
      </c>
      <c r="BY36" s="37">
        <v>1194.307942014852</v>
      </c>
      <c r="BZ36" s="37">
        <v>1228.4743012388669</v>
      </c>
      <c r="CA36" s="37">
        <v>1239.128239183389</v>
      </c>
      <c r="CB36" s="37">
        <v>1240.5057051564791</v>
      </c>
      <c r="CC36" s="37">
        <v>1246.8998090385919</v>
      </c>
      <c r="CD36" s="37">
        <v>1243.6149833331269</v>
      </c>
      <c r="CE36" s="37">
        <v>1277.011929842053</v>
      </c>
      <c r="CF36" s="37">
        <v>1285.5563208245419</v>
      </c>
      <c r="CG36" s="37">
        <v>1294.207820715857</v>
      </c>
      <c r="CH36" s="37">
        <v>1313.8345708472709</v>
      </c>
      <c r="CI36" s="37">
        <v>1329.214572320278</v>
      </c>
      <c r="CJ36" s="37">
        <v>1327.9452858722329</v>
      </c>
      <c r="CK36" s="37">
        <v>1329.455591569086</v>
      </c>
      <c r="CL36" s="37">
        <v>1355.751991690543</v>
      </c>
      <c r="CM36" s="37">
        <v>1347.3751900441059</v>
      </c>
      <c r="CN36" s="37">
        <v>1358.3244887791479</v>
      </c>
      <c r="CO36" s="37">
        <v>1364.56250358291</v>
      </c>
      <c r="CP36" s="37">
        <v>1361.341862285102</v>
      </c>
      <c r="CQ36" s="37">
        <v>1387.3471385376349</v>
      </c>
      <c r="CR36" s="37">
        <v>1413.8074773672979</v>
      </c>
      <c r="CS36" s="37">
        <v>1437.090035520946</v>
      </c>
      <c r="CT36" s="37">
        <v>1466.9383332308639</v>
      </c>
      <c r="CU36" s="37">
        <v>1461.7546730271131</v>
      </c>
      <c r="CV36" s="37">
        <v>1452.2570216229799</v>
      </c>
      <c r="CW36" s="37">
        <v>1425.087497521655</v>
      </c>
      <c r="CX36" s="37">
        <v>1441.043520712079</v>
      </c>
      <c r="CY36" s="37">
        <v>1420.6345402226409</v>
      </c>
      <c r="CZ36" s="37">
        <v>1409.336186294455</v>
      </c>
      <c r="DA36" s="37">
        <v>1386.622522615477</v>
      </c>
      <c r="DB36" s="37">
        <v>1409.004476784095</v>
      </c>
      <c r="DC36" s="37">
        <v>1398.638052215256</v>
      </c>
      <c r="DD36" s="37">
        <v>1418.4583839032621</v>
      </c>
      <c r="DE36" s="37">
        <v>1431.1181796484191</v>
      </c>
      <c r="DF36" s="37">
        <v>1447.811554730539</v>
      </c>
      <c r="DG36" s="37">
        <v>1453.393171101394</v>
      </c>
      <c r="DH36" s="37">
        <v>1478.2326118709391</v>
      </c>
      <c r="DI36" s="37">
        <v>1469.7120215686571</v>
      </c>
      <c r="DJ36" s="37">
        <v>1507.976150390092</v>
      </c>
      <c r="DK36" s="37">
        <v>1501.528899735149</v>
      </c>
      <c r="DL36" s="37">
        <v>1515.0334488098649</v>
      </c>
      <c r="DM36" s="37">
        <v>1528.177828241061</v>
      </c>
      <c r="DN36" s="37">
        <v>1554.2456758620031</v>
      </c>
      <c r="DO36" s="37">
        <v>1552.0021671381689</v>
      </c>
      <c r="DP36" s="37"/>
      <c r="DQ36" s="37"/>
      <c r="DR36" s="37"/>
      <c r="DS36" s="37"/>
      <c r="DT36" s="37"/>
      <c r="DU36" s="37"/>
      <c r="DV36" s="37"/>
      <c r="DW36" s="37"/>
      <c r="DX36" s="37"/>
      <c r="DY36" s="37"/>
      <c r="DZ36" s="37"/>
      <c r="EA36" s="37"/>
      <c r="EB36" s="37"/>
      <c r="EC36" s="37"/>
      <c r="ED36" s="37"/>
      <c r="EE36" s="37"/>
      <c r="EF36" s="37"/>
      <c r="EG36" s="37"/>
      <c r="EH36" s="37"/>
      <c r="EI36" s="37"/>
      <c r="EJ36" s="37"/>
      <c r="EK36" s="37"/>
      <c r="EL36" s="37"/>
    </row>
    <row r="37" spans="1:142" x14ac:dyDescent="0.25">
      <c r="A37" s="119">
        <f t="shared" si="11"/>
        <v>1.05971733722227E-2</v>
      </c>
      <c r="B37" s="79">
        <v>29</v>
      </c>
      <c r="C37" s="80" t="s">
        <v>371</v>
      </c>
      <c r="D37" s="90">
        <v>1.1858999999999999E-3</v>
      </c>
      <c r="E37" s="36">
        <f t="shared" si="12"/>
        <v>9.6222189766807849E-3</v>
      </c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>
        <v>1065.996290380574</v>
      </c>
      <c r="BP37" s="37">
        <v>1091.576400463659</v>
      </c>
      <c r="BQ37" s="37">
        <v>1067.2540927508601</v>
      </c>
      <c r="BR37" s="37">
        <v>1075.428374786788</v>
      </c>
      <c r="BS37" s="37">
        <v>1072.8431358654429</v>
      </c>
      <c r="BT37" s="37">
        <v>1080.524732537926</v>
      </c>
      <c r="BU37" s="37">
        <v>1077.791239472898</v>
      </c>
      <c r="BV37" s="37">
        <v>1087.034029163204</v>
      </c>
      <c r="BW37" s="37">
        <v>1104.516350722881</v>
      </c>
      <c r="BX37" s="37">
        <v>1085.359198587601</v>
      </c>
      <c r="BY37" s="37">
        <v>1080.2265362708649</v>
      </c>
      <c r="BZ37" s="37">
        <v>1107.698924872424</v>
      </c>
      <c r="CA37" s="37">
        <v>1103.378783400392</v>
      </c>
      <c r="CB37" s="37">
        <v>1082.1745440569689</v>
      </c>
      <c r="CC37" s="37">
        <v>1092.995736267686</v>
      </c>
      <c r="CD37" s="37">
        <v>1093.5143931358391</v>
      </c>
      <c r="CE37" s="37">
        <v>1113.791781880489</v>
      </c>
      <c r="CF37" s="37">
        <v>1079.3812559617411</v>
      </c>
      <c r="CG37" s="37">
        <v>1105.1530494162021</v>
      </c>
      <c r="CH37" s="37">
        <v>1103.839425530643</v>
      </c>
      <c r="CI37" s="37">
        <v>1100.4199698159489</v>
      </c>
      <c r="CJ37" s="37">
        <v>1120.99389038751</v>
      </c>
      <c r="CK37" s="37">
        <v>1093.463832497051</v>
      </c>
      <c r="CL37" s="37">
        <v>1137.7523021267771</v>
      </c>
      <c r="CM37" s="37">
        <v>1141.53948366537</v>
      </c>
      <c r="CN37" s="37">
        <v>1143.1334250695979</v>
      </c>
      <c r="CO37" s="37">
        <v>1137.220863978082</v>
      </c>
      <c r="CP37" s="37">
        <v>1129.0404586118</v>
      </c>
      <c r="CQ37" s="37">
        <v>1139.1100141331749</v>
      </c>
      <c r="CR37" s="37">
        <v>1129.895582522533</v>
      </c>
      <c r="CS37" s="37">
        <v>1154.6709166294129</v>
      </c>
      <c r="CT37" s="37">
        <v>1145.2411902197559</v>
      </c>
      <c r="CU37" s="37">
        <v>1154.02400964858</v>
      </c>
      <c r="CV37" s="37">
        <v>1151.618193831905</v>
      </c>
      <c r="CW37" s="37">
        <v>1154.3153853441379</v>
      </c>
      <c r="CX37" s="37">
        <v>1165.9852336457921</v>
      </c>
      <c r="CY37" s="37">
        <v>1197.1495361124159</v>
      </c>
      <c r="CZ37" s="37">
        <v>1212.723596755689</v>
      </c>
      <c r="DA37" s="37">
        <v>1216.8547169202391</v>
      </c>
      <c r="DB37" s="37">
        <v>1214.9744431972661</v>
      </c>
      <c r="DC37" s="37">
        <v>1204.2696511230631</v>
      </c>
      <c r="DD37" s="37">
        <v>1238.232054511423</v>
      </c>
      <c r="DE37" s="37">
        <v>1250.633871714208</v>
      </c>
      <c r="DF37" s="37">
        <v>1246.431771277254</v>
      </c>
      <c r="DG37" s="37">
        <v>1247.4620353029411</v>
      </c>
      <c r="DH37" s="37">
        <v>1247.4923885516021</v>
      </c>
      <c r="DI37" s="37">
        <v>1260.3390797162881</v>
      </c>
      <c r="DJ37" s="37">
        <v>1208.925779337869</v>
      </c>
      <c r="DK37" s="37">
        <v>1241.615771407081</v>
      </c>
      <c r="DL37" s="37">
        <v>1279.8750663052899</v>
      </c>
      <c r="DM37" s="37">
        <v>1255.026663152119</v>
      </c>
      <c r="DN37" s="37">
        <v>1249.496827830098</v>
      </c>
      <c r="DO37" s="37">
        <v>1216.0872456449181</v>
      </c>
      <c r="DP37" s="37"/>
      <c r="DQ37" s="37"/>
      <c r="DR37" s="37"/>
      <c r="DS37" s="37"/>
      <c r="DT37" s="37"/>
      <c r="DU37" s="37"/>
      <c r="DV37" s="37"/>
      <c r="DW37" s="37"/>
      <c r="DX37" s="37"/>
      <c r="DY37" s="37"/>
      <c r="DZ37" s="37"/>
      <c r="EA37" s="37"/>
      <c r="EB37" s="37"/>
      <c r="EC37" s="37"/>
      <c r="ED37" s="37"/>
      <c r="EE37" s="37"/>
      <c r="EF37" s="37"/>
      <c r="EG37" s="37"/>
      <c r="EH37" s="37"/>
      <c r="EI37" s="37"/>
      <c r="EJ37" s="37"/>
      <c r="EK37" s="37"/>
      <c r="EL37" s="37"/>
    </row>
    <row r="38" spans="1:142" x14ac:dyDescent="0.25">
      <c r="A38" s="119">
        <f t="shared" si="11"/>
        <v>6.6649867032684232E-2</v>
      </c>
      <c r="B38" s="81">
        <v>30</v>
      </c>
      <c r="C38" s="82" t="s">
        <v>374</v>
      </c>
      <c r="D38" s="91">
        <v>7.4586000000000001E-3</v>
      </c>
      <c r="E38" s="40">
        <f t="shared" si="12"/>
        <v>6.051798841341708E-2</v>
      </c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>
        <v>4952.8274274971691</v>
      </c>
      <c r="AE38" s="41">
        <v>4952.8274274971691</v>
      </c>
      <c r="AF38" s="41">
        <v>5009.3128453986119</v>
      </c>
      <c r="AG38" s="41">
        <v>4932.9743558954251</v>
      </c>
      <c r="AH38" s="41">
        <v>5004.8764088145754</v>
      </c>
      <c r="AI38" s="41"/>
      <c r="AJ38" s="41">
        <v>5075.6785929723201</v>
      </c>
      <c r="AK38" s="41">
        <v>5373.7950593360893</v>
      </c>
      <c r="AL38" s="41"/>
      <c r="AM38" s="41">
        <v>5372.7206521828393</v>
      </c>
      <c r="AN38" s="41">
        <v>5327.0868871663552</v>
      </c>
      <c r="AO38" s="41"/>
      <c r="AP38" s="41">
        <v>5224.6721291028034</v>
      </c>
      <c r="AQ38" s="41">
        <v>5250.5210711221034</v>
      </c>
      <c r="AR38" s="41"/>
      <c r="AS38" s="41">
        <v>5035.0954640891159</v>
      </c>
      <c r="AT38" s="41">
        <v>5284.3877184031326</v>
      </c>
      <c r="AU38" s="41"/>
      <c r="AV38" s="41">
        <v>5466.1850896768401</v>
      </c>
      <c r="AW38" s="41">
        <v>5492.8318064306641</v>
      </c>
      <c r="AX38" s="41">
        <v>5588.672581925839</v>
      </c>
      <c r="AY38" s="41">
        <v>5451.7439906693617</v>
      </c>
      <c r="AZ38" s="41"/>
      <c r="BA38" s="41">
        <v>5665.4274303250131</v>
      </c>
      <c r="BB38" s="41">
        <v>5553.7165316993842</v>
      </c>
      <c r="BC38" s="41"/>
      <c r="BD38" s="41">
        <v>5581.0642524408486</v>
      </c>
      <c r="BE38" s="41">
        <v>5596.2064859401789</v>
      </c>
      <c r="BF38" s="41"/>
      <c r="BG38" s="41">
        <v>5740.0628827570781</v>
      </c>
      <c r="BH38" s="41">
        <v>5729.3824834383286</v>
      </c>
      <c r="BI38" s="41"/>
      <c r="BJ38" s="41">
        <v>5916.6106220647926</v>
      </c>
      <c r="BK38" s="41">
        <v>5819.5777999879419</v>
      </c>
      <c r="BL38" s="41">
        <v>5774.914291967154</v>
      </c>
      <c r="BM38" s="41">
        <v>6089.4491140162118</v>
      </c>
      <c r="BN38" s="41">
        <v>6088.1434500811956</v>
      </c>
      <c r="BO38" s="41">
        <v>5659.9095556608181</v>
      </c>
      <c r="BP38" s="41">
        <v>5623.7030274413482</v>
      </c>
      <c r="BQ38" s="41">
        <v>5781.8227150885286</v>
      </c>
      <c r="BR38" s="41">
        <v>5753.0378089231053</v>
      </c>
      <c r="BS38" s="41">
        <v>5926.8515044210844</v>
      </c>
      <c r="BT38" s="41">
        <v>6159.9826536328037</v>
      </c>
      <c r="BU38" s="41">
        <v>6381.6992517100798</v>
      </c>
      <c r="BV38" s="41">
        <v>6456.5936364475347</v>
      </c>
      <c r="BW38" s="41">
        <v>6546.9740443980454</v>
      </c>
      <c r="BX38" s="41">
        <v>6648.635734151716</v>
      </c>
      <c r="BY38" s="41">
        <v>6631.5056233756986</v>
      </c>
      <c r="BZ38" s="41">
        <v>6580.3878435768529</v>
      </c>
      <c r="CA38" s="41">
        <v>6670.2538513897834</v>
      </c>
      <c r="CB38" s="41">
        <v>6932.4454662112848</v>
      </c>
      <c r="CC38" s="41">
        <v>6997.2949735381262</v>
      </c>
      <c r="CD38" s="41">
        <v>7009.0331884788302</v>
      </c>
      <c r="CE38" s="41">
        <v>7005.8127761492769</v>
      </c>
      <c r="CF38" s="41">
        <v>6882.7955125956578</v>
      </c>
      <c r="CG38" s="41">
        <v>6981.9397762161461</v>
      </c>
      <c r="CH38" s="41">
        <v>6988.1547722287896</v>
      </c>
      <c r="CI38" s="41">
        <v>7041.9962871107964</v>
      </c>
      <c r="CJ38" s="41">
        <v>7142.5902304102201</v>
      </c>
      <c r="CK38" s="41">
        <v>7112.8887338677396</v>
      </c>
      <c r="CL38" s="41">
        <v>7002.08961719748</v>
      </c>
      <c r="CM38" s="41">
        <v>6942.514380488903</v>
      </c>
      <c r="CN38" s="41">
        <v>7081.9108457735874</v>
      </c>
      <c r="CO38" s="41">
        <v>7054.3782425758709</v>
      </c>
      <c r="CP38" s="41">
        <v>7121.5676448906042</v>
      </c>
      <c r="CQ38" s="41">
        <v>7039.1999656258668</v>
      </c>
      <c r="CR38" s="41">
        <v>7221.0588852029696</v>
      </c>
      <c r="CS38" s="41">
        <v>7359.6475024003184</v>
      </c>
      <c r="CT38" s="41">
        <v>7303.2904990859379</v>
      </c>
      <c r="CU38" s="41">
        <v>7144.6671251067928</v>
      </c>
      <c r="CV38" s="41">
        <v>7152.681070577024</v>
      </c>
      <c r="CW38" s="41">
        <v>6929.1738372250084</v>
      </c>
      <c r="CX38" s="41">
        <v>6880.436734885141</v>
      </c>
      <c r="CY38" s="41">
        <v>6830.3106863562252</v>
      </c>
      <c r="CZ38" s="41">
        <v>6893.8379948878128</v>
      </c>
      <c r="DA38" s="41">
        <v>6952.7144717346291</v>
      </c>
      <c r="DB38" s="41">
        <v>6993.6905728452257</v>
      </c>
      <c r="DC38" s="41">
        <v>6926.4631181926043</v>
      </c>
      <c r="DD38" s="41">
        <v>6971.1031671547926</v>
      </c>
      <c r="DE38" s="41">
        <v>6971.3727523764974</v>
      </c>
      <c r="DF38" s="41">
        <v>7010.6380849005518</v>
      </c>
      <c r="DG38" s="41">
        <v>7021.3006333892681</v>
      </c>
      <c r="DH38" s="41">
        <v>6971.6446095366427</v>
      </c>
      <c r="DI38" s="41">
        <v>7021.4637287715304</v>
      </c>
      <c r="DJ38" s="41">
        <v>6937.908586953381</v>
      </c>
      <c r="DK38" s="41">
        <v>6858.2942767759896</v>
      </c>
      <c r="DL38" s="41">
        <v>6900.134270268848</v>
      </c>
      <c r="DM38" s="41">
        <v>6805.2160422575371</v>
      </c>
      <c r="DN38" s="41">
        <v>6896.9023616369541</v>
      </c>
      <c r="DO38" s="41">
        <v>6710.9467363730491</v>
      </c>
      <c r="DP38" s="41"/>
      <c r="DQ38" s="41"/>
      <c r="DR38" s="41"/>
      <c r="DS38" s="41"/>
      <c r="DT38" s="41"/>
      <c r="DU38" s="41"/>
      <c r="DV38" s="41"/>
      <c r="DW38" s="41"/>
      <c r="DX38" s="41"/>
      <c r="DY38" s="41"/>
      <c r="DZ38" s="41"/>
      <c r="EA38" s="41"/>
      <c r="EB38" s="41"/>
      <c r="EC38" s="41"/>
      <c r="ED38" s="41"/>
      <c r="EE38" s="41"/>
      <c r="EF38" s="41"/>
      <c r="EG38" s="41"/>
      <c r="EH38" s="41"/>
      <c r="EI38" s="41"/>
      <c r="EJ38" s="41"/>
      <c r="EK38" s="41"/>
      <c r="EL38" s="41"/>
    </row>
    <row r="39" spans="1:142" x14ac:dyDescent="0.25">
      <c r="A39" s="119">
        <f t="shared" si="11"/>
        <v>3.7516799633982446E-2</v>
      </c>
      <c r="B39" s="73">
        <v>31</v>
      </c>
      <c r="C39" s="83" t="s">
        <v>379</v>
      </c>
      <c r="D39" s="93">
        <v>4.1983999999999997E-3</v>
      </c>
      <c r="E39" s="44">
        <f t="shared" si="12"/>
        <v>3.4065202927478382E-2</v>
      </c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>
        <v>145.47262407299871</v>
      </c>
      <c r="BP39" s="25">
        <v>144.02845680695319</v>
      </c>
      <c r="BQ39" s="25">
        <v>146.44045094353029</v>
      </c>
      <c r="BR39" s="25">
        <v>149.6145728260671</v>
      </c>
      <c r="BS39" s="25">
        <v>150.53943498734051</v>
      </c>
      <c r="BT39" s="25">
        <v>152.62059319965709</v>
      </c>
      <c r="BU39" s="25">
        <v>151.0859886612744</v>
      </c>
      <c r="BV39" s="25">
        <v>152.47536240011561</v>
      </c>
      <c r="BW39" s="25">
        <v>151.94727907943309</v>
      </c>
      <c r="BX39" s="25">
        <v>151.03106083156811</v>
      </c>
      <c r="BY39" s="25">
        <v>149.75794019929401</v>
      </c>
      <c r="BZ39" s="25">
        <v>153.76996610289149</v>
      </c>
      <c r="CA39" s="25">
        <v>152.34851453833139</v>
      </c>
      <c r="CB39" s="25">
        <v>151.23398153053051</v>
      </c>
      <c r="CC39" s="25">
        <v>154.45757089497329</v>
      </c>
      <c r="CD39" s="25">
        <v>154.86870191370099</v>
      </c>
      <c r="CE39" s="25">
        <v>155.2421924460065</v>
      </c>
      <c r="CF39" s="25">
        <v>157.0875311205013</v>
      </c>
      <c r="CG39" s="25">
        <v>159.6720086296794</v>
      </c>
      <c r="CH39" s="25">
        <v>160.2725735610137</v>
      </c>
      <c r="CI39" s="25">
        <v>162.36743434652169</v>
      </c>
      <c r="CJ39" s="25">
        <v>161.57557850772841</v>
      </c>
      <c r="CK39" s="25">
        <v>160.4274649154255</v>
      </c>
      <c r="CL39" s="25">
        <v>162.4732765192191</v>
      </c>
      <c r="CM39" s="25">
        <v>161.29828969198371</v>
      </c>
      <c r="CN39" s="25">
        <v>163.02648986829541</v>
      </c>
      <c r="CO39" s="25">
        <v>162.694254845231</v>
      </c>
      <c r="CP39" s="25">
        <v>166.5847065961558</v>
      </c>
      <c r="CQ39" s="25">
        <v>166.45940107241981</v>
      </c>
      <c r="CR39" s="25">
        <v>166.4058424634525</v>
      </c>
      <c r="CS39" s="25">
        <v>168.90731354156421</v>
      </c>
      <c r="CT39" s="25">
        <v>168.26303248112239</v>
      </c>
      <c r="CU39" s="25">
        <v>168.42683119536611</v>
      </c>
      <c r="CV39" s="25">
        <v>166.64625073651811</v>
      </c>
      <c r="CW39" s="25">
        <v>168.3855093064933</v>
      </c>
      <c r="CX39" s="25">
        <v>163.30723704457861</v>
      </c>
      <c r="CY39" s="25">
        <v>159.57901946387869</v>
      </c>
      <c r="CZ39" s="25">
        <v>157.76118868970829</v>
      </c>
      <c r="DA39" s="25">
        <v>157.0395453795891</v>
      </c>
      <c r="DB39" s="25">
        <v>159.42212934074831</v>
      </c>
      <c r="DC39" s="25">
        <v>159.6899409336736</v>
      </c>
      <c r="DD39" s="25">
        <v>161.2644898032749</v>
      </c>
      <c r="DE39" s="25">
        <v>162.12705299334399</v>
      </c>
      <c r="DF39" s="25">
        <v>161.88230196159421</v>
      </c>
      <c r="DG39" s="25">
        <v>162.4620904171905</v>
      </c>
      <c r="DH39" s="25">
        <v>162.02057737547511</v>
      </c>
      <c r="DI39" s="25">
        <v>164.93539807126439</v>
      </c>
      <c r="DJ39" s="25">
        <v>161.3841399704406</v>
      </c>
      <c r="DK39" s="25">
        <v>162.16577988701641</v>
      </c>
      <c r="DL39" s="25">
        <v>166.56905675426731</v>
      </c>
      <c r="DM39" s="25">
        <v>166.2310269300751</v>
      </c>
      <c r="DN39" s="25">
        <v>165.501174076686</v>
      </c>
      <c r="DO39" s="25">
        <v>166.7837129253513</v>
      </c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</row>
    <row r="40" spans="1:142" x14ac:dyDescent="0.25">
      <c r="A40" s="119">
        <f t="shared" si="11"/>
        <v>1.1737403848903379E-2</v>
      </c>
      <c r="B40" s="73">
        <v>32</v>
      </c>
      <c r="C40" s="84" t="s">
        <v>382</v>
      </c>
      <c r="D40" s="87">
        <v>1.3135E-3</v>
      </c>
      <c r="E40" s="24">
        <f t="shared" si="12"/>
        <v>1.0657546695227433E-2</v>
      </c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>
        <v>1970.765725840994</v>
      </c>
      <c r="BP40" s="25">
        <v>1934.8468758724359</v>
      </c>
      <c r="BQ40" s="25">
        <v>1989.56560517509</v>
      </c>
      <c r="BR40" s="25">
        <v>1914.3821881216829</v>
      </c>
      <c r="BS40" s="25">
        <v>2059.089470354947</v>
      </c>
      <c r="BT40" s="25">
        <v>2110.8910610850289</v>
      </c>
      <c r="BU40" s="25">
        <v>2104.4020253905001</v>
      </c>
      <c r="BV40" s="25">
        <v>2089.397092307112</v>
      </c>
      <c r="BW40" s="25">
        <v>2092.900256980673</v>
      </c>
      <c r="BX40" s="25">
        <v>2107.8431471585659</v>
      </c>
      <c r="BY40" s="25">
        <v>2107.3188641551469</v>
      </c>
      <c r="BZ40" s="25">
        <v>2116.8990488583258</v>
      </c>
      <c r="CA40" s="25">
        <v>2117.1760267115442</v>
      </c>
      <c r="CB40" s="25">
        <v>2106.4632588806039</v>
      </c>
      <c r="CC40" s="25">
        <v>2126.6166977899202</v>
      </c>
      <c r="CD40" s="25">
        <v>2131.4135835947482</v>
      </c>
      <c r="CE40" s="25">
        <v>2127.3816655940232</v>
      </c>
      <c r="CF40" s="25">
        <v>2111.418768790712</v>
      </c>
      <c r="CG40" s="25">
        <v>2135.928429855976</v>
      </c>
      <c r="CH40" s="25">
        <v>2129.4821197404822</v>
      </c>
      <c r="CI40" s="25">
        <v>2130.0992543242492</v>
      </c>
      <c r="CJ40" s="25">
        <v>2115.076139441549</v>
      </c>
      <c r="CK40" s="25">
        <v>2127.583363601711</v>
      </c>
      <c r="CL40" s="25">
        <v>2136.4632440047531</v>
      </c>
      <c r="CM40" s="25">
        <v>2136.031029926934</v>
      </c>
      <c r="CN40" s="25">
        <v>2156.773501134011</v>
      </c>
      <c r="CO40" s="25">
        <v>2147.3012039710638</v>
      </c>
      <c r="CP40" s="25">
        <v>2101.2323936746079</v>
      </c>
      <c r="CQ40" s="25">
        <v>2161.233000307489</v>
      </c>
      <c r="CR40" s="25">
        <v>2174.1164047237489</v>
      </c>
      <c r="CS40" s="25">
        <v>2180.2917119721951</v>
      </c>
      <c r="CT40" s="25">
        <v>2156.054179693218</v>
      </c>
      <c r="CU40" s="25">
        <v>2123.3460543663341</v>
      </c>
      <c r="CV40" s="25">
        <v>2132.1316398116778</v>
      </c>
      <c r="CW40" s="25">
        <v>2105.53857406933</v>
      </c>
      <c r="CX40" s="25">
        <v>2021.7244324797459</v>
      </c>
      <c r="CY40" s="25">
        <v>1976.5302929912989</v>
      </c>
      <c r="CZ40" s="25">
        <v>1968.0191589706519</v>
      </c>
      <c r="DA40" s="25">
        <v>1989.766622003342</v>
      </c>
      <c r="DB40" s="25">
        <v>2003.119856674811</v>
      </c>
      <c r="DC40" s="25">
        <v>2004.040598403903</v>
      </c>
      <c r="DD40" s="25">
        <v>2015.4861447530211</v>
      </c>
      <c r="DE40" s="25">
        <v>2031.859610274181</v>
      </c>
      <c r="DF40" s="25">
        <v>2020.8155474507109</v>
      </c>
      <c r="DG40" s="25">
        <v>2053.0297289451719</v>
      </c>
      <c r="DH40" s="25">
        <v>2086.1905827727542</v>
      </c>
      <c r="DI40" s="25">
        <v>2068.8992205739401</v>
      </c>
      <c r="DJ40" s="25">
        <v>2080.4050029818559</v>
      </c>
      <c r="DK40" s="25">
        <v>2081.7537573238778</v>
      </c>
      <c r="DL40" s="25">
        <v>2100.8810385161742</v>
      </c>
      <c r="DM40" s="25">
        <v>2106.2770102987301</v>
      </c>
      <c r="DN40" s="25">
        <v>2116.9391517571648</v>
      </c>
      <c r="DO40" s="25">
        <v>2099.471772758568</v>
      </c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</row>
    <row r="41" spans="1:142" x14ac:dyDescent="0.25">
      <c r="A41" s="119">
        <f t="shared" si="11"/>
        <v>0.18704694604100544</v>
      </c>
      <c r="B41" s="73">
        <v>33</v>
      </c>
      <c r="C41" s="74" t="s">
        <v>398</v>
      </c>
      <c r="D41" s="87">
        <v>2.09319E-2</v>
      </c>
      <c r="E41" s="24">
        <f t="shared" si="12"/>
        <v>0.169838372036415</v>
      </c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>
        <v>956.96759900817358</v>
      </c>
      <c r="Z41" s="25"/>
      <c r="AA41" s="25">
        <v>956.08823525034768</v>
      </c>
      <c r="AB41" s="25">
        <v>944.27639636317474</v>
      </c>
      <c r="AC41" s="25"/>
      <c r="AD41" s="25">
        <v>934.15700864194719</v>
      </c>
      <c r="AE41" s="25">
        <v>928.30354176336914</v>
      </c>
      <c r="AF41" s="25">
        <v>990.70621030346126</v>
      </c>
      <c r="AG41" s="25">
        <v>979.19643520299257</v>
      </c>
      <c r="AH41" s="25">
        <v>973.02691087665005</v>
      </c>
      <c r="AI41" s="25"/>
      <c r="AJ41" s="25">
        <v>972.98177756642895</v>
      </c>
      <c r="AK41" s="25">
        <v>975.04760496682104</v>
      </c>
      <c r="AL41" s="25"/>
      <c r="AM41" s="25">
        <v>976.65597303238587</v>
      </c>
      <c r="AN41" s="25">
        <v>955.3631208343653</v>
      </c>
      <c r="AO41" s="25"/>
      <c r="AP41" s="25">
        <v>948.13794025243953</v>
      </c>
      <c r="AQ41" s="25">
        <v>946.04147818257366</v>
      </c>
      <c r="AR41" s="25"/>
      <c r="AS41" s="25">
        <v>960.4319884237301</v>
      </c>
      <c r="AT41" s="25">
        <v>969.77869786572489</v>
      </c>
      <c r="AU41" s="25"/>
      <c r="AV41" s="25">
        <v>987.11537068202483</v>
      </c>
      <c r="AW41" s="25">
        <v>1031.0739894061639</v>
      </c>
      <c r="AX41" s="25">
        <v>1040.4490323073101</v>
      </c>
      <c r="AY41" s="25">
        <v>1050.399838653098</v>
      </c>
      <c r="AZ41" s="25"/>
      <c r="BA41" s="25">
        <v>1062.0431254550369</v>
      </c>
      <c r="BB41" s="25">
        <v>1076.945105755869</v>
      </c>
      <c r="BC41" s="25"/>
      <c r="BD41" s="25">
        <v>1066.96077678084</v>
      </c>
      <c r="BE41" s="25">
        <v>1061.697606831209</v>
      </c>
      <c r="BF41" s="25"/>
      <c r="BG41" s="25">
        <v>1056.96816673326</v>
      </c>
      <c r="BH41" s="25">
        <v>1067.1086242636709</v>
      </c>
      <c r="BI41" s="25"/>
      <c r="BJ41" s="25">
        <v>1074.2707380791601</v>
      </c>
      <c r="BK41" s="25">
        <v>1084.9601258176699</v>
      </c>
      <c r="BL41" s="25">
        <v>1065.987118199484</v>
      </c>
      <c r="BM41" s="25">
        <v>1076.9366985957879</v>
      </c>
      <c r="BN41" s="25">
        <v>1092.169910018451</v>
      </c>
      <c r="BO41" s="25">
        <v>1115.7678116402101</v>
      </c>
      <c r="BP41" s="25">
        <v>1113.8925530249189</v>
      </c>
      <c r="BQ41" s="25">
        <v>1125.659312389462</v>
      </c>
      <c r="BR41" s="25">
        <v>1126.8518831991071</v>
      </c>
      <c r="BS41" s="25">
        <v>1139.9223227552991</v>
      </c>
      <c r="BT41" s="25">
        <v>1150.272549566459</v>
      </c>
      <c r="BU41" s="25">
        <v>1114.6905193579801</v>
      </c>
      <c r="BV41" s="25">
        <v>1110.220976387463</v>
      </c>
      <c r="BW41" s="25">
        <v>1112.7010920590151</v>
      </c>
      <c r="BX41" s="25">
        <v>1122.241096030174</v>
      </c>
      <c r="BY41" s="25">
        <v>1114.413457021931</v>
      </c>
      <c r="BZ41" s="25">
        <v>1133.08155182153</v>
      </c>
      <c r="CA41" s="25">
        <v>1125.4798384907911</v>
      </c>
      <c r="CB41" s="25">
        <v>1117.9183790337861</v>
      </c>
      <c r="CC41" s="25">
        <v>1118.148486259121</v>
      </c>
      <c r="CD41" s="25">
        <v>1134.7218524212151</v>
      </c>
      <c r="CE41" s="25">
        <v>1158.511942420283</v>
      </c>
      <c r="CF41" s="25">
        <v>1187.941491186378</v>
      </c>
      <c r="CG41" s="25">
        <v>1190.3197989493081</v>
      </c>
      <c r="CH41" s="25">
        <v>1192.996288785461</v>
      </c>
      <c r="CI41" s="25">
        <v>1208.982805583694</v>
      </c>
      <c r="CJ41" s="25">
        <v>1209.1936863846649</v>
      </c>
      <c r="CK41" s="25">
        <v>1214.7477158015679</v>
      </c>
      <c r="CL41" s="25">
        <v>1206.5131815785701</v>
      </c>
      <c r="CM41" s="25">
        <v>1218.654766130481</v>
      </c>
      <c r="CN41" s="25">
        <v>1222.2787034631531</v>
      </c>
      <c r="CO41" s="25">
        <v>1222.629700213618</v>
      </c>
      <c r="CP41" s="25">
        <v>1224.925780464773</v>
      </c>
      <c r="CQ41" s="25">
        <v>1229.18193042758</v>
      </c>
      <c r="CR41" s="25">
        <v>1233.7500576408399</v>
      </c>
      <c r="CS41" s="25">
        <v>1238.8724687009751</v>
      </c>
      <c r="CT41" s="25">
        <v>1238.4928167517801</v>
      </c>
      <c r="CU41" s="25">
        <v>1238.6219701205041</v>
      </c>
      <c r="CV41" s="25">
        <v>1245.5386407177241</v>
      </c>
      <c r="CW41" s="25">
        <v>1257.19101026356</v>
      </c>
      <c r="CX41" s="25">
        <v>1260.2721987518</v>
      </c>
      <c r="CY41" s="25">
        <v>1243.9894115302591</v>
      </c>
      <c r="CZ41" s="25">
        <v>1255.014897425589</v>
      </c>
      <c r="DA41" s="25">
        <v>1252.889062873084</v>
      </c>
      <c r="DB41" s="25">
        <v>1255.6710802216301</v>
      </c>
      <c r="DC41" s="25">
        <v>1254.504041178134</v>
      </c>
      <c r="DD41" s="25">
        <v>1258.3692659586011</v>
      </c>
      <c r="DE41" s="25">
        <v>1266.860677134976</v>
      </c>
      <c r="DF41" s="25">
        <v>1260.775051473895</v>
      </c>
      <c r="DG41" s="25">
        <v>1267.7401821595749</v>
      </c>
      <c r="DH41" s="25">
        <v>1268.522470450067</v>
      </c>
      <c r="DI41" s="25">
        <v>1274.425688720446</v>
      </c>
      <c r="DJ41" s="25">
        <v>1276.240548330182</v>
      </c>
      <c r="DK41" s="25">
        <v>1272.628213145706</v>
      </c>
      <c r="DL41" s="25">
        <v>1280.583844116999</v>
      </c>
      <c r="DM41" s="25">
        <v>1279.6362425983421</v>
      </c>
      <c r="DN41" s="25">
        <v>1286.011895958093</v>
      </c>
      <c r="DO41" s="25">
        <v>1280.070927813221</v>
      </c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</row>
    <row r="42" spans="1:142" s="98" customFormat="1" x14ac:dyDescent="0.25">
      <c r="B42" s="99">
        <v>34</v>
      </c>
      <c r="C42" s="100" t="s">
        <v>404</v>
      </c>
      <c r="D42" s="101">
        <v>1.13388E-2</v>
      </c>
      <c r="E42" s="102">
        <f t="shared" si="12"/>
        <v>9.2001363127403743E-2</v>
      </c>
      <c r="G42" s="103"/>
      <c r="H42" s="104"/>
      <c r="I42" s="103"/>
      <c r="J42" s="104"/>
      <c r="K42" s="103"/>
      <c r="L42" s="104"/>
      <c r="M42" s="103"/>
      <c r="N42" s="104"/>
      <c r="O42" s="103"/>
      <c r="P42" s="104"/>
      <c r="Q42" s="103"/>
      <c r="R42" s="104"/>
      <c r="S42" s="103"/>
      <c r="T42" s="104"/>
      <c r="U42" s="103"/>
      <c r="V42" s="104"/>
      <c r="W42" s="104"/>
      <c r="X42" s="103"/>
      <c r="Y42" s="104"/>
      <c r="Z42" s="103"/>
      <c r="AA42" s="104"/>
      <c r="AB42" s="103"/>
      <c r="AC42" s="104"/>
      <c r="AD42" s="103"/>
      <c r="AE42" s="104"/>
      <c r="AF42" s="103"/>
      <c r="AG42" s="104"/>
      <c r="AH42" s="103"/>
      <c r="AI42" s="104"/>
      <c r="AJ42" s="103"/>
      <c r="AK42" s="104"/>
      <c r="AL42" s="103"/>
      <c r="AM42" s="104"/>
      <c r="AN42" s="103"/>
      <c r="AO42" s="104"/>
      <c r="AP42" s="103"/>
      <c r="AQ42" s="104"/>
      <c r="AR42" s="103"/>
      <c r="AS42" s="104"/>
      <c r="AT42" s="104"/>
      <c r="AU42" s="103"/>
      <c r="AV42" s="104"/>
      <c r="AW42" s="103"/>
      <c r="AX42" s="104"/>
      <c r="AY42" s="103"/>
      <c r="AZ42" s="104"/>
      <c r="BA42" s="103"/>
      <c r="BB42" s="104"/>
      <c r="BC42" s="103"/>
      <c r="BD42" s="104"/>
      <c r="BE42" s="103"/>
      <c r="BF42" s="104"/>
      <c r="BG42" s="103"/>
      <c r="BH42" s="104"/>
      <c r="BI42" s="104"/>
      <c r="BJ42" s="103"/>
      <c r="BK42" s="104"/>
      <c r="BL42" s="103"/>
      <c r="BM42" s="104"/>
      <c r="BN42" s="103"/>
      <c r="BO42" s="104"/>
      <c r="BP42" s="103"/>
      <c r="BQ42" s="104"/>
      <c r="BR42" s="103"/>
      <c r="BS42" s="104"/>
      <c r="BT42" s="103"/>
      <c r="BU42" s="104"/>
      <c r="BV42" s="103"/>
      <c r="BW42" s="104"/>
      <c r="BX42" s="103"/>
      <c r="BY42" s="104"/>
      <c r="BZ42" s="103"/>
      <c r="CA42" s="104"/>
      <c r="CB42" s="103"/>
      <c r="CC42" s="104"/>
      <c r="CD42" s="103"/>
      <c r="CE42" s="104"/>
      <c r="CF42" s="103"/>
      <c r="CG42" s="104"/>
      <c r="CH42" s="103"/>
      <c r="CI42" s="104"/>
      <c r="CJ42" s="103"/>
      <c r="CK42" s="104"/>
      <c r="CL42" s="103"/>
      <c r="CM42" s="104"/>
      <c r="CN42" s="103"/>
      <c r="CO42" s="104"/>
      <c r="CP42" s="103"/>
      <c r="CQ42" s="104"/>
      <c r="CR42" s="103"/>
      <c r="CS42" s="104"/>
      <c r="CT42" s="103"/>
      <c r="CU42" s="104"/>
      <c r="CV42" s="104"/>
      <c r="CW42" s="104"/>
      <c r="CX42" s="103"/>
      <c r="CY42" s="104"/>
      <c r="CZ42" s="103"/>
      <c r="DA42" s="104"/>
      <c r="DB42" s="103"/>
      <c r="DC42" s="104"/>
      <c r="DD42" s="103"/>
      <c r="DE42" s="104"/>
      <c r="DF42" s="103"/>
      <c r="DG42" s="104"/>
      <c r="DH42" s="103"/>
      <c r="DI42" s="104"/>
      <c r="DJ42" s="103"/>
      <c r="DK42" s="104"/>
      <c r="DL42" s="104"/>
      <c r="DM42" s="104">
        <v>684.47229606390067</v>
      </c>
      <c r="DN42" s="104">
        <v>714.07505926276212</v>
      </c>
      <c r="DO42" s="104">
        <v>741.60318929509481</v>
      </c>
      <c r="DP42" s="104"/>
      <c r="DQ42" s="104"/>
      <c r="DR42" s="103"/>
      <c r="DS42" s="104"/>
      <c r="DT42" s="103"/>
      <c r="DU42" s="104"/>
      <c r="DV42" s="103"/>
      <c r="DW42" s="104"/>
      <c r="DX42" s="103"/>
      <c r="DY42" s="104"/>
      <c r="DZ42" s="103"/>
      <c r="EA42" s="104"/>
      <c r="EB42" s="103"/>
      <c r="EC42" s="104"/>
      <c r="ED42" s="103"/>
      <c r="EE42" s="104"/>
      <c r="EF42" s="103"/>
      <c r="EG42" s="104"/>
      <c r="EH42" s="103"/>
      <c r="EI42" s="104"/>
      <c r="EJ42" s="103"/>
      <c r="EK42" s="104"/>
      <c r="EL42" s="104"/>
    </row>
    <row r="43" spans="1:142" x14ac:dyDescent="0.25">
      <c r="B43" s="10"/>
      <c r="C43" s="45" t="s">
        <v>412</v>
      </c>
      <c r="D43" s="46">
        <f>SUM(D9:D42)</f>
        <v>0.12324599999999998</v>
      </c>
      <c r="E43" s="46">
        <f>SUM(E9:E42)</f>
        <v>1.0000000000000002</v>
      </c>
    </row>
    <row r="44" spans="1:142" x14ac:dyDescent="0.25">
      <c r="DO44" s="118"/>
    </row>
    <row r="48" spans="1:142" x14ac:dyDescent="0.25">
      <c r="B48" s="15" t="s">
        <v>413</v>
      </c>
    </row>
    <row r="50" spans="2:142" ht="30" customHeight="1" x14ac:dyDescent="0.25">
      <c r="B50" s="17" t="s">
        <v>408</v>
      </c>
      <c r="C50" s="17" t="s">
        <v>409</v>
      </c>
      <c r="D50" s="17" t="s">
        <v>410</v>
      </c>
      <c r="E50" s="17" t="s">
        <v>411</v>
      </c>
      <c r="G50" s="11">
        <f t="shared" ref="G50:AL50" si="13">IF(G$8="","",G$8)</f>
        <v>39448</v>
      </c>
      <c r="H50" s="11">
        <f t="shared" si="13"/>
        <v>39479</v>
      </c>
      <c r="I50" s="11">
        <f t="shared" si="13"/>
        <v>39508</v>
      </c>
      <c r="J50" s="11">
        <f t="shared" si="13"/>
        <v>39539</v>
      </c>
      <c r="K50" s="11">
        <f t="shared" si="13"/>
        <v>39569</v>
      </c>
      <c r="L50" s="11">
        <f t="shared" si="13"/>
        <v>39600</v>
      </c>
      <c r="M50" s="11">
        <f t="shared" si="13"/>
        <v>39630</v>
      </c>
      <c r="N50" s="11">
        <f t="shared" si="13"/>
        <v>39661</v>
      </c>
      <c r="O50" s="11">
        <f t="shared" si="13"/>
        <v>39692</v>
      </c>
      <c r="P50" s="11">
        <f t="shared" si="13"/>
        <v>39722</v>
      </c>
      <c r="Q50" s="11">
        <f t="shared" si="13"/>
        <v>39753</v>
      </c>
      <c r="R50" s="11">
        <f t="shared" si="13"/>
        <v>39783</v>
      </c>
      <c r="S50" s="11">
        <f t="shared" si="13"/>
        <v>39814</v>
      </c>
      <c r="T50" s="11">
        <f t="shared" si="13"/>
        <v>39845</v>
      </c>
      <c r="U50" s="11">
        <f t="shared" si="13"/>
        <v>39873</v>
      </c>
      <c r="V50" s="11">
        <f t="shared" si="13"/>
        <v>39904</v>
      </c>
      <c r="W50" s="11">
        <f t="shared" si="13"/>
        <v>39934</v>
      </c>
      <c r="X50" s="11">
        <f t="shared" si="13"/>
        <v>39965</v>
      </c>
      <c r="Y50" s="11">
        <f t="shared" si="13"/>
        <v>39995</v>
      </c>
      <c r="Z50" s="11">
        <f t="shared" si="13"/>
        <v>40026</v>
      </c>
      <c r="AA50" s="11">
        <f t="shared" si="13"/>
        <v>40057</v>
      </c>
      <c r="AB50" s="11">
        <f t="shared" si="13"/>
        <v>40087</v>
      </c>
      <c r="AC50" s="11">
        <f t="shared" si="13"/>
        <v>40118</v>
      </c>
      <c r="AD50" s="11">
        <f t="shared" si="13"/>
        <v>40148</v>
      </c>
      <c r="AE50" s="11">
        <f t="shared" si="13"/>
        <v>40179</v>
      </c>
      <c r="AF50" s="11">
        <f t="shared" si="13"/>
        <v>40210</v>
      </c>
      <c r="AG50" s="11">
        <f t="shared" si="13"/>
        <v>40238</v>
      </c>
      <c r="AH50" s="11">
        <f t="shared" si="13"/>
        <v>40269</v>
      </c>
      <c r="AI50" s="11">
        <f t="shared" si="13"/>
        <v>40299</v>
      </c>
      <c r="AJ50" s="11">
        <f t="shared" si="13"/>
        <v>40330</v>
      </c>
      <c r="AK50" s="11">
        <f t="shared" si="13"/>
        <v>40360</v>
      </c>
      <c r="AL50" s="11">
        <f t="shared" si="13"/>
        <v>40391</v>
      </c>
      <c r="AM50" s="11">
        <f t="shared" ref="AM50:BR50" si="14">IF(AM$8="","",AM$8)</f>
        <v>40422</v>
      </c>
      <c r="AN50" s="11">
        <f t="shared" si="14"/>
        <v>40452</v>
      </c>
      <c r="AO50" s="11">
        <f t="shared" si="14"/>
        <v>40483</v>
      </c>
      <c r="AP50" s="11">
        <f t="shared" si="14"/>
        <v>40513</v>
      </c>
      <c r="AQ50" s="11">
        <f t="shared" si="14"/>
        <v>40544</v>
      </c>
      <c r="AR50" s="11">
        <f t="shared" si="14"/>
        <v>40575</v>
      </c>
      <c r="AS50" s="11">
        <f t="shared" si="14"/>
        <v>40603</v>
      </c>
      <c r="AT50" s="11">
        <f t="shared" si="14"/>
        <v>40634</v>
      </c>
      <c r="AU50" s="11">
        <f t="shared" si="14"/>
        <v>40664</v>
      </c>
      <c r="AV50" s="11">
        <f t="shared" si="14"/>
        <v>40695</v>
      </c>
      <c r="AW50" s="11">
        <f t="shared" si="14"/>
        <v>40725</v>
      </c>
      <c r="AX50" s="11">
        <f t="shared" si="14"/>
        <v>40756</v>
      </c>
      <c r="AY50" s="11">
        <f t="shared" si="14"/>
        <v>40787</v>
      </c>
      <c r="AZ50" s="11">
        <f t="shared" si="14"/>
        <v>40817</v>
      </c>
      <c r="BA50" s="11">
        <f t="shared" si="14"/>
        <v>40848</v>
      </c>
      <c r="BB50" s="11">
        <f t="shared" si="14"/>
        <v>40878</v>
      </c>
      <c r="BC50" s="11">
        <f t="shared" si="14"/>
        <v>40909</v>
      </c>
      <c r="BD50" s="11">
        <f t="shared" si="14"/>
        <v>40940</v>
      </c>
      <c r="BE50" s="11">
        <f t="shared" si="14"/>
        <v>40969</v>
      </c>
      <c r="BF50" s="11">
        <f t="shared" si="14"/>
        <v>41000</v>
      </c>
      <c r="BG50" s="11">
        <f t="shared" si="14"/>
        <v>41030</v>
      </c>
      <c r="BH50" s="11">
        <f t="shared" si="14"/>
        <v>41061</v>
      </c>
      <c r="BI50" s="11">
        <f t="shared" si="14"/>
        <v>41091</v>
      </c>
      <c r="BJ50" s="11">
        <f t="shared" si="14"/>
        <v>41122</v>
      </c>
      <c r="BK50" s="11">
        <f t="shared" si="14"/>
        <v>41153</v>
      </c>
      <c r="BL50" s="11">
        <f t="shared" si="14"/>
        <v>41183</v>
      </c>
      <c r="BM50" s="11">
        <f t="shared" si="14"/>
        <v>41214</v>
      </c>
      <c r="BN50" s="11">
        <f t="shared" si="14"/>
        <v>41244</v>
      </c>
      <c r="BO50" s="11">
        <f t="shared" si="14"/>
        <v>41275</v>
      </c>
      <c r="BP50" s="11">
        <f t="shared" si="14"/>
        <v>41306</v>
      </c>
      <c r="BQ50" s="11">
        <f t="shared" si="14"/>
        <v>41334</v>
      </c>
      <c r="BR50" s="11">
        <f t="shared" si="14"/>
        <v>41365</v>
      </c>
      <c r="BS50" s="11">
        <f t="shared" ref="BS50:CX50" si="15">IF(BS$8="","",BS$8)</f>
        <v>41395</v>
      </c>
      <c r="BT50" s="11">
        <f t="shared" si="15"/>
        <v>41426</v>
      </c>
      <c r="BU50" s="11">
        <f t="shared" si="15"/>
        <v>41456</v>
      </c>
      <c r="BV50" s="11">
        <f t="shared" si="15"/>
        <v>41487</v>
      </c>
      <c r="BW50" s="11">
        <f t="shared" si="15"/>
        <v>41518</v>
      </c>
      <c r="BX50" s="11">
        <f t="shared" si="15"/>
        <v>41548</v>
      </c>
      <c r="BY50" s="11">
        <f t="shared" si="15"/>
        <v>41579</v>
      </c>
      <c r="BZ50" s="11">
        <f t="shared" si="15"/>
        <v>41609</v>
      </c>
      <c r="CA50" s="11">
        <f t="shared" si="15"/>
        <v>41640</v>
      </c>
      <c r="CB50" s="11">
        <f t="shared" si="15"/>
        <v>41671</v>
      </c>
      <c r="CC50" s="11">
        <f t="shared" si="15"/>
        <v>41699</v>
      </c>
      <c r="CD50" s="11">
        <f t="shared" si="15"/>
        <v>41730</v>
      </c>
      <c r="CE50" s="11">
        <f t="shared" si="15"/>
        <v>41760</v>
      </c>
      <c r="CF50" s="11">
        <f t="shared" si="15"/>
        <v>41791</v>
      </c>
      <c r="CG50" s="11">
        <f t="shared" si="15"/>
        <v>41821</v>
      </c>
      <c r="CH50" s="11">
        <f t="shared" si="15"/>
        <v>41852</v>
      </c>
      <c r="CI50" s="11">
        <f t="shared" si="15"/>
        <v>41883</v>
      </c>
      <c r="CJ50" s="11">
        <f t="shared" si="15"/>
        <v>41913</v>
      </c>
      <c r="CK50" s="11">
        <f t="shared" si="15"/>
        <v>41944</v>
      </c>
      <c r="CL50" s="11">
        <f t="shared" si="15"/>
        <v>41974</v>
      </c>
      <c r="CM50" s="11">
        <f t="shared" si="15"/>
        <v>42005</v>
      </c>
      <c r="CN50" s="11">
        <f t="shared" si="15"/>
        <v>42036</v>
      </c>
      <c r="CO50" s="11">
        <f t="shared" si="15"/>
        <v>42064</v>
      </c>
      <c r="CP50" s="11">
        <f t="shared" si="15"/>
        <v>42095</v>
      </c>
      <c r="CQ50" s="11">
        <f t="shared" si="15"/>
        <v>42125</v>
      </c>
      <c r="CR50" s="11">
        <f t="shared" si="15"/>
        <v>42156</v>
      </c>
      <c r="CS50" s="11">
        <f t="shared" si="15"/>
        <v>42186</v>
      </c>
      <c r="CT50" s="11">
        <f t="shared" si="15"/>
        <v>42217</v>
      </c>
      <c r="CU50" s="11">
        <f t="shared" si="15"/>
        <v>42248</v>
      </c>
      <c r="CV50" s="11">
        <f t="shared" si="15"/>
        <v>42278</v>
      </c>
      <c r="CW50" s="11">
        <f t="shared" si="15"/>
        <v>42309</v>
      </c>
      <c r="CX50" s="11">
        <f t="shared" si="15"/>
        <v>42339</v>
      </c>
      <c r="CY50" s="11">
        <f t="shared" ref="CY50:ED50" si="16">IF(CY$8="","",CY$8)</f>
        <v>42370</v>
      </c>
      <c r="CZ50" s="11">
        <f t="shared" si="16"/>
        <v>42401</v>
      </c>
      <c r="DA50" s="11">
        <f t="shared" si="16"/>
        <v>42430</v>
      </c>
      <c r="DB50" s="11">
        <f t="shared" si="16"/>
        <v>42461</v>
      </c>
      <c r="DC50" s="11">
        <f t="shared" si="16"/>
        <v>42491</v>
      </c>
      <c r="DD50" s="11">
        <f t="shared" si="16"/>
        <v>42522</v>
      </c>
      <c r="DE50" s="11">
        <f t="shared" si="16"/>
        <v>42552</v>
      </c>
      <c r="DF50" s="11">
        <f t="shared" si="16"/>
        <v>42583</v>
      </c>
      <c r="DG50" s="11">
        <f t="shared" si="16"/>
        <v>42614</v>
      </c>
      <c r="DH50" s="11">
        <f t="shared" si="16"/>
        <v>42644</v>
      </c>
      <c r="DI50" s="11">
        <f t="shared" si="16"/>
        <v>42675</v>
      </c>
      <c r="DJ50" s="11">
        <f t="shared" si="16"/>
        <v>42705</v>
      </c>
      <c r="DK50" s="11">
        <f t="shared" si="16"/>
        <v>42736</v>
      </c>
      <c r="DL50" s="11">
        <f t="shared" si="16"/>
        <v>42767</v>
      </c>
      <c r="DM50" s="11">
        <f t="shared" si="16"/>
        <v>42795</v>
      </c>
      <c r="DN50" s="11">
        <f t="shared" si="16"/>
        <v>42826</v>
      </c>
      <c r="DO50" s="11">
        <f t="shared" si="16"/>
        <v>42856</v>
      </c>
      <c r="DP50" s="11" t="str">
        <f t="shared" si="16"/>
        <v/>
      </c>
      <c r="DQ50" s="11" t="str">
        <f t="shared" si="16"/>
        <v/>
      </c>
      <c r="DR50" s="11" t="str">
        <f t="shared" si="16"/>
        <v/>
      </c>
      <c r="DS50" s="11" t="str">
        <f t="shared" si="16"/>
        <v/>
      </c>
      <c r="DT50" s="11" t="str">
        <f t="shared" si="16"/>
        <v/>
      </c>
      <c r="DU50" s="11" t="str">
        <f t="shared" si="16"/>
        <v/>
      </c>
      <c r="DV50" s="11" t="str">
        <f t="shared" si="16"/>
        <v/>
      </c>
      <c r="DW50" s="11" t="str">
        <f t="shared" si="16"/>
        <v/>
      </c>
      <c r="DX50" s="11" t="str">
        <f t="shared" si="16"/>
        <v/>
      </c>
      <c r="DY50" s="11" t="str">
        <f t="shared" si="16"/>
        <v/>
      </c>
      <c r="DZ50" s="11" t="str">
        <f t="shared" si="16"/>
        <v/>
      </c>
      <c r="EA50" s="11" t="str">
        <f t="shared" si="16"/>
        <v/>
      </c>
      <c r="EB50" s="11" t="str">
        <f t="shared" si="16"/>
        <v/>
      </c>
      <c r="EC50" s="11" t="str">
        <f t="shared" si="16"/>
        <v/>
      </c>
      <c r="ED50" s="11" t="str">
        <f t="shared" si="16"/>
        <v/>
      </c>
      <c r="EE50" s="11" t="str">
        <f t="shared" ref="EE50:EL50" si="17">IF(EE$8="","",EE$8)</f>
        <v/>
      </c>
      <c r="EF50" s="11" t="str">
        <f t="shared" si="17"/>
        <v/>
      </c>
      <c r="EG50" s="11" t="str">
        <f t="shared" si="17"/>
        <v/>
      </c>
      <c r="EH50" s="11" t="str">
        <f t="shared" si="17"/>
        <v/>
      </c>
      <c r="EI50" s="11" t="str">
        <f t="shared" si="17"/>
        <v/>
      </c>
      <c r="EJ50" s="11" t="str">
        <f t="shared" si="17"/>
        <v/>
      </c>
      <c r="EK50" s="11" t="str">
        <f t="shared" si="17"/>
        <v/>
      </c>
      <c r="EL50" s="11" t="str">
        <f t="shared" si="17"/>
        <v/>
      </c>
    </row>
    <row r="51" spans="2:142" x14ac:dyDescent="0.25">
      <c r="B51" s="18">
        <f t="shared" ref="B51:E70" si="18">B9</f>
        <v>1</v>
      </c>
      <c r="C51" s="19" t="str">
        <f t="shared" si="18"/>
        <v>ACEITE VEGETAL</v>
      </c>
      <c r="D51" s="20">
        <f t="shared" si="18"/>
        <v>3.4550000000000002E-3</v>
      </c>
      <c r="E51" s="20">
        <f t="shared" si="18"/>
        <v>2.8033364165976994E-2</v>
      </c>
      <c r="G51" s="47"/>
      <c r="H51" s="47" t="str">
        <f t="shared" ref="H51:AM51" si="19">IF(H9="","",IF(ISERROR(H9/G9-1),"",H9/G9-1))</f>
        <v/>
      </c>
      <c r="I51" s="47" t="str">
        <f t="shared" si="19"/>
        <v/>
      </c>
      <c r="J51" s="47" t="str">
        <f t="shared" si="19"/>
        <v/>
      </c>
      <c r="K51" s="47" t="str">
        <f t="shared" si="19"/>
        <v/>
      </c>
      <c r="L51" s="47" t="str">
        <f t="shared" si="19"/>
        <v/>
      </c>
      <c r="M51" s="47" t="str">
        <f t="shared" si="19"/>
        <v/>
      </c>
      <c r="N51" s="47" t="str">
        <f t="shared" si="19"/>
        <v/>
      </c>
      <c r="O51" s="47" t="str">
        <f t="shared" si="19"/>
        <v/>
      </c>
      <c r="P51" s="47" t="str">
        <f t="shared" si="19"/>
        <v/>
      </c>
      <c r="Q51" s="47" t="str">
        <f t="shared" si="19"/>
        <v/>
      </c>
      <c r="R51" s="47" t="str">
        <f t="shared" si="19"/>
        <v/>
      </c>
      <c r="S51" s="47" t="str">
        <f t="shared" si="19"/>
        <v/>
      </c>
      <c r="T51" s="47" t="str">
        <f t="shared" si="19"/>
        <v/>
      </c>
      <c r="U51" s="47" t="str">
        <f t="shared" si="19"/>
        <v/>
      </c>
      <c r="V51" s="47" t="str">
        <f t="shared" si="19"/>
        <v/>
      </c>
      <c r="W51" s="47" t="str">
        <f t="shared" si="19"/>
        <v/>
      </c>
      <c r="X51" s="47" t="str">
        <f t="shared" si="19"/>
        <v/>
      </c>
      <c r="Y51" s="47" t="str">
        <f t="shared" si="19"/>
        <v/>
      </c>
      <c r="Z51" s="47" t="str">
        <f t="shared" si="19"/>
        <v/>
      </c>
      <c r="AA51" s="47" t="str">
        <f t="shared" si="19"/>
        <v/>
      </c>
      <c r="AB51" s="47" t="str">
        <f t="shared" si="19"/>
        <v/>
      </c>
      <c r="AC51" s="47" t="str">
        <f t="shared" si="19"/>
        <v/>
      </c>
      <c r="AD51" s="47" t="str">
        <f t="shared" si="19"/>
        <v/>
      </c>
      <c r="AE51" s="47" t="str">
        <f t="shared" si="19"/>
        <v/>
      </c>
      <c r="AF51" s="47" t="str">
        <f t="shared" si="19"/>
        <v/>
      </c>
      <c r="AG51" s="47" t="str">
        <f t="shared" si="19"/>
        <v/>
      </c>
      <c r="AH51" s="47" t="str">
        <f t="shared" si="19"/>
        <v/>
      </c>
      <c r="AI51" s="47" t="str">
        <f t="shared" si="19"/>
        <v/>
      </c>
      <c r="AJ51" s="47" t="str">
        <f t="shared" si="19"/>
        <v/>
      </c>
      <c r="AK51" s="47" t="str">
        <f t="shared" si="19"/>
        <v/>
      </c>
      <c r="AL51" s="47" t="str">
        <f t="shared" si="19"/>
        <v/>
      </c>
      <c r="AM51" s="47" t="str">
        <f t="shared" si="19"/>
        <v/>
      </c>
      <c r="AN51" s="47" t="str">
        <f t="shared" ref="AN51:BS51" si="20">IF(AN9="","",IF(ISERROR(AN9/AM9-1),"",AN9/AM9-1))</f>
        <v/>
      </c>
      <c r="AO51" s="47" t="str">
        <f t="shared" si="20"/>
        <v/>
      </c>
      <c r="AP51" s="47" t="str">
        <f t="shared" si="20"/>
        <v/>
      </c>
      <c r="AQ51" s="47" t="str">
        <f t="shared" si="20"/>
        <v/>
      </c>
      <c r="AR51" s="47" t="str">
        <f t="shared" si="20"/>
        <v/>
      </c>
      <c r="AS51" s="47" t="str">
        <f t="shared" si="20"/>
        <v/>
      </c>
      <c r="AT51" s="47" t="str">
        <f t="shared" si="20"/>
        <v/>
      </c>
      <c r="AU51" s="47" t="str">
        <f t="shared" si="20"/>
        <v/>
      </c>
      <c r="AV51" s="47" t="str">
        <f t="shared" si="20"/>
        <v/>
      </c>
      <c r="AW51" s="47" t="str">
        <f t="shared" si="20"/>
        <v/>
      </c>
      <c r="AX51" s="47" t="str">
        <f t="shared" si="20"/>
        <v/>
      </c>
      <c r="AY51" s="47" t="str">
        <f t="shared" si="20"/>
        <v/>
      </c>
      <c r="AZ51" s="47" t="str">
        <f t="shared" si="20"/>
        <v/>
      </c>
      <c r="BA51" s="47" t="str">
        <f t="shared" si="20"/>
        <v/>
      </c>
      <c r="BB51" s="47" t="str">
        <f t="shared" si="20"/>
        <v/>
      </c>
      <c r="BC51" s="47" t="str">
        <f t="shared" si="20"/>
        <v/>
      </c>
      <c r="BD51" s="47" t="str">
        <f t="shared" si="20"/>
        <v/>
      </c>
      <c r="BE51" s="47" t="str">
        <f t="shared" si="20"/>
        <v/>
      </c>
      <c r="BF51" s="47" t="str">
        <f t="shared" si="20"/>
        <v/>
      </c>
      <c r="BG51" s="47" t="str">
        <f t="shared" si="20"/>
        <v/>
      </c>
      <c r="BH51" s="47" t="str">
        <f t="shared" si="20"/>
        <v/>
      </c>
      <c r="BI51" s="47" t="str">
        <f t="shared" si="20"/>
        <v/>
      </c>
      <c r="BJ51" s="47" t="str">
        <f t="shared" si="20"/>
        <v/>
      </c>
      <c r="BK51" s="47" t="str">
        <f t="shared" si="20"/>
        <v/>
      </c>
      <c r="BL51" s="47" t="str">
        <f t="shared" si="20"/>
        <v/>
      </c>
      <c r="BM51" s="47" t="str">
        <f t="shared" si="20"/>
        <v/>
      </c>
      <c r="BN51" s="47" t="str">
        <f t="shared" si="20"/>
        <v/>
      </c>
      <c r="BO51" s="47" t="str">
        <f t="shared" si="20"/>
        <v/>
      </c>
      <c r="BP51" s="47">
        <f t="shared" si="20"/>
        <v>7.4441339730957345E-4</v>
      </c>
      <c r="BQ51" s="47">
        <f t="shared" si="20"/>
        <v>1.0909064757074649E-2</v>
      </c>
      <c r="BR51" s="47">
        <f t="shared" si="20"/>
        <v>-6.3898903519615802E-3</v>
      </c>
      <c r="BS51" s="47">
        <f t="shared" si="20"/>
        <v>-1.1069479397095017E-2</v>
      </c>
      <c r="BT51" s="47">
        <f t="shared" ref="BT51:CY51" si="21">IF(BT9="","",IF(ISERROR(BT9/BS9-1),"",BT9/BS9-1))</f>
        <v>1.5276277783995429E-2</v>
      </c>
      <c r="BU51" s="47">
        <f t="shared" si="21"/>
        <v>-2.1939485954800775E-2</v>
      </c>
      <c r="BV51" s="47">
        <f t="shared" si="21"/>
        <v>-7.1163689138129538E-3</v>
      </c>
      <c r="BW51" s="47">
        <f t="shared" si="21"/>
        <v>9.5281151262804897E-3</v>
      </c>
      <c r="BX51" s="47">
        <f t="shared" si="21"/>
        <v>1.0084173294533816E-2</v>
      </c>
      <c r="BY51" s="47">
        <f t="shared" si="21"/>
        <v>-2.6611735844452311E-2</v>
      </c>
      <c r="BZ51" s="47">
        <f t="shared" si="21"/>
        <v>6.7469341077703859E-3</v>
      </c>
      <c r="CA51" s="47">
        <f t="shared" si="21"/>
        <v>-7.7284170525763196E-3</v>
      </c>
      <c r="CB51" s="47">
        <f t="shared" si="21"/>
        <v>2.8295313753521123E-2</v>
      </c>
      <c r="CC51" s="47">
        <f t="shared" si="21"/>
        <v>1.127432526963168E-2</v>
      </c>
      <c r="CD51" s="47">
        <f t="shared" si="21"/>
        <v>5.0393873390153221E-3</v>
      </c>
      <c r="CE51" s="47">
        <f t="shared" si="21"/>
        <v>2.8363242637434727E-3</v>
      </c>
      <c r="CF51" s="47">
        <f t="shared" si="21"/>
        <v>5.0779814682611057E-3</v>
      </c>
      <c r="CG51" s="47">
        <f t="shared" si="21"/>
        <v>2.0425376990040212E-2</v>
      </c>
      <c r="CH51" s="47">
        <f t="shared" si="21"/>
        <v>-1.0724154670270769E-3</v>
      </c>
      <c r="CI51" s="47">
        <f t="shared" si="21"/>
        <v>-1.1936371836599013E-2</v>
      </c>
      <c r="CJ51" s="47">
        <f t="shared" si="21"/>
        <v>-5.6332196647590482E-4</v>
      </c>
      <c r="CK51" s="47">
        <f t="shared" si="21"/>
        <v>-1.1027591835923056E-2</v>
      </c>
      <c r="CL51" s="47">
        <f t="shared" si="21"/>
        <v>-1.2991464255489693E-2</v>
      </c>
      <c r="CM51" s="47">
        <f t="shared" si="21"/>
        <v>8.1495658258508019E-3</v>
      </c>
      <c r="CN51" s="47">
        <f t="shared" si="21"/>
        <v>1.1560144173451414E-2</v>
      </c>
      <c r="CO51" s="47">
        <f t="shared" si="21"/>
        <v>6.3329058923886627E-3</v>
      </c>
      <c r="CP51" s="47">
        <f t="shared" si="21"/>
        <v>3.1942223925696123E-3</v>
      </c>
      <c r="CQ51" s="47">
        <f t="shared" si="21"/>
        <v>8.0590565449538687E-3</v>
      </c>
      <c r="CR51" s="47">
        <f t="shared" si="21"/>
        <v>5.7303999784585891E-4</v>
      </c>
      <c r="CS51" s="47">
        <f t="shared" si="21"/>
        <v>-1.2388950225034279E-2</v>
      </c>
      <c r="CT51" s="47">
        <f t="shared" si="21"/>
        <v>-1.8487089044566529E-3</v>
      </c>
      <c r="CU51" s="47">
        <f t="shared" si="21"/>
        <v>-8.6206279898779492E-3</v>
      </c>
      <c r="CV51" s="47">
        <f t="shared" si="21"/>
        <v>2.5933434858163906E-2</v>
      </c>
      <c r="CW51" s="47">
        <f t="shared" si="21"/>
        <v>1.615338422194168E-2</v>
      </c>
      <c r="CX51" s="47">
        <f t="shared" si="21"/>
        <v>-3.6298535474308391E-3</v>
      </c>
      <c r="CY51" s="47">
        <f t="shared" si="21"/>
        <v>1.8870506213358729E-2</v>
      </c>
      <c r="CZ51" s="47">
        <f t="shared" ref="CZ51:EE51" si="22">IF(CZ9="","",IF(ISERROR(CZ9/CY9-1),"",CZ9/CY9-1))</f>
        <v>2.6462355758258171E-2</v>
      </c>
      <c r="DA51" s="47">
        <f t="shared" si="22"/>
        <v>1.242970109136321E-3</v>
      </c>
      <c r="DB51" s="47">
        <f t="shared" si="22"/>
        <v>-7.640671428619239E-4</v>
      </c>
      <c r="DC51" s="47">
        <f t="shared" si="22"/>
        <v>-2.8821402384710537E-2</v>
      </c>
      <c r="DD51" s="47">
        <f t="shared" si="22"/>
        <v>1.1688268644424626E-2</v>
      </c>
      <c r="DE51" s="47">
        <f t="shared" si="22"/>
        <v>2.2557100048364864E-2</v>
      </c>
      <c r="DF51" s="47">
        <f t="shared" si="22"/>
        <v>1.6593869103315617E-2</v>
      </c>
      <c r="DG51" s="47">
        <f t="shared" si="22"/>
        <v>4.6490730728296903E-3</v>
      </c>
      <c r="DH51" s="47">
        <f t="shared" si="22"/>
        <v>-1.2608056729303208E-2</v>
      </c>
      <c r="DI51" s="47">
        <f t="shared" si="22"/>
        <v>-7.834370958308412E-4</v>
      </c>
      <c r="DJ51" s="47">
        <f t="shared" si="22"/>
        <v>-8.6572577043285692E-3</v>
      </c>
      <c r="DK51" s="47">
        <f t="shared" si="22"/>
        <v>2.1695238673406836E-2</v>
      </c>
      <c r="DL51" s="47">
        <f t="shared" si="22"/>
        <v>-2.8653228676110976E-3</v>
      </c>
      <c r="DM51" s="47">
        <f t="shared" si="22"/>
        <v>3.2172550784186349E-3</v>
      </c>
      <c r="DN51" s="47">
        <f t="shared" si="22"/>
        <v>-1.6959925017048905E-2</v>
      </c>
      <c r="DO51" s="47">
        <f t="shared" si="22"/>
        <v>-2.3591211046756544E-2</v>
      </c>
      <c r="DP51" s="47" t="str">
        <f t="shared" si="22"/>
        <v/>
      </c>
      <c r="DQ51" s="47" t="str">
        <f t="shared" si="22"/>
        <v/>
      </c>
      <c r="DR51" s="47" t="str">
        <f t="shared" si="22"/>
        <v/>
      </c>
      <c r="DS51" s="47" t="str">
        <f t="shared" si="22"/>
        <v/>
      </c>
      <c r="DT51" s="47" t="str">
        <f t="shared" si="22"/>
        <v/>
      </c>
      <c r="DU51" s="47" t="str">
        <f t="shared" si="22"/>
        <v/>
      </c>
      <c r="DV51" s="47" t="str">
        <f t="shared" si="22"/>
        <v/>
      </c>
      <c r="DW51" s="47" t="str">
        <f t="shared" si="22"/>
        <v/>
      </c>
      <c r="DX51" s="47" t="str">
        <f t="shared" si="22"/>
        <v/>
      </c>
      <c r="DY51" s="47" t="str">
        <f t="shared" si="22"/>
        <v/>
      </c>
      <c r="DZ51" s="47" t="str">
        <f t="shared" si="22"/>
        <v/>
      </c>
      <c r="EA51" s="47" t="str">
        <f t="shared" si="22"/>
        <v/>
      </c>
      <c r="EB51" s="47" t="str">
        <f t="shared" si="22"/>
        <v/>
      </c>
      <c r="EC51" s="47" t="str">
        <f t="shared" si="22"/>
        <v/>
      </c>
      <c r="ED51" s="47" t="str">
        <f t="shared" si="22"/>
        <v/>
      </c>
      <c r="EE51" s="47" t="str">
        <f t="shared" si="22"/>
        <v/>
      </c>
      <c r="EF51" s="47" t="str">
        <f t="shared" ref="EF51:EL51" si="23">IF(EF9="","",IF(ISERROR(EF9/EE9-1),"",EF9/EE9-1))</f>
        <v/>
      </c>
      <c r="EG51" s="47" t="str">
        <f t="shared" si="23"/>
        <v/>
      </c>
      <c r="EH51" s="47" t="str">
        <f t="shared" si="23"/>
        <v/>
      </c>
      <c r="EI51" s="47" t="str">
        <f t="shared" si="23"/>
        <v/>
      </c>
      <c r="EJ51" s="47" t="str">
        <f t="shared" si="23"/>
        <v/>
      </c>
      <c r="EK51" s="47" t="str">
        <f t="shared" si="23"/>
        <v/>
      </c>
      <c r="EL51" s="47" t="str">
        <f t="shared" si="23"/>
        <v/>
      </c>
    </row>
    <row r="52" spans="2:142" x14ac:dyDescent="0.25">
      <c r="B52" s="22">
        <f t="shared" si="18"/>
        <v>2</v>
      </c>
      <c r="C52" s="23" t="str">
        <f t="shared" si="18"/>
        <v>AZÚCAR</v>
      </c>
      <c r="D52" s="24">
        <f t="shared" si="18"/>
        <v>1.8716E-3</v>
      </c>
      <c r="E52" s="24">
        <f t="shared" si="18"/>
        <v>1.5185888385829968E-2</v>
      </c>
      <c r="G52" s="48"/>
      <c r="H52" s="48" t="str">
        <f t="shared" ref="H52:AM52" si="24">IF(H10="","",IF(ISERROR(H10/G10-1),"",H10/G10-1))</f>
        <v/>
      </c>
      <c r="I52" s="48" t="str">
        <f t="shared" si="24"/>
        <v/>
      </c>
      <c r="J52" s="48" t="str">
        <f t="shared" si="24"/>
        <v/>
      </c>
      <c r="K52" s="48" t="str">
        <f t="shared" si="24"/>
        <v/>
      </c>
      <c r="L52" s="48" t="str">
        <f t="shared" si="24"/>
        <v/>
      </c>
      <c r="M52" s="48" t="str">
        <f t="shared" si="24"/>
        <v/>
      </c>
      <c r="N52" s="48" t="str">
        <f t="shared" si="24"/>
        <v/>
      </c>
      <c r="O52" s="48" t="str">
        <f t="shared" si="24"/>
        <v/>
      </c>
      <c r="P52" s="48" t="str">
        <f t="shared" si="24"/>
        <v/>
      </c>
      <c r="Q52" s="48" t="str">
        <f t="shared" si="24"/>
        <v/>
      </c>
      <c r="R52" s="48" t="str">
        <f t="shared" si="24"/>
        <v/>
      </c>
      <c r="S52" s="48" t="str">
        <f t="shared" si="24"/>
        <v/>
      </c>
      <c r="T52" s="48" t="str">
        <f t="shared" si="24"/>
        <v/>
      </c>
      <c r="U52" s="48" t="str">
        <f t="shared" si="24"/>
        <v/>
      </c>
      <c r="V52" s="48" t="str">
        <f t="shared" si="24"/>
        <v/>
      </c>
      <c r="W52" s="48" t="str">
        <f t="shared" si="24"/>
        <v/>
      </c>
      <c r="X52" s="48" t="str">
        <f t="shared" si="24"/>
        <v/>
      </c>
      <c r="Y52" s="48" t="str">
        <f t="shared" si="24"/>
        <v/>
      </c>
      <c r="Z52" s="48" t="str">
        <f t="shared" si="24"/>
        <v/>
      </c>
      <c r="AA52" s="48" t="str">
        <f t="shared" si="24"/>
        <v/>
      </c>
      <c r="AB52" s="48" t="str">
        <f t="shared" si="24"/>
        <v/>
      </c>
      <c r="AC52" s="48" t="str">
        <f t="shared" si="24"/>
        <v/>
      </c>
      <c r="AD52" s="48" t="str">
        <f t="shared" si="24"/>
        <v/>
      </c>
      <c r="AE52" s="48" t="str">
        <f t="shared" si="24"/>
        <v/>
      </c>
      <c r="AF52" s="48" t="str">
        <f t="shared" si="24"/>
        <v/>
      </c>
      <c r="AG52" s="48" t="str">
        <f t="shared" si="24"/>
        <v/>
      </c>
      <c r="AH52" s="48" t="str">
        <f t="shared" si="24"/>
        <v/>
      </c>
      <c r="AI52" s="48" t="str">
        <f t="shared" si="24"/>
        <v/>
      </c>
      <c r="AJ52" s="48" t="str">
        <f t="shared" si="24"/>
        <v/>
      </c>
      <c r="AK52" s="48" t="str">
        <f t="shared" si="24"/>
        <v/>
      </c>
      <c r="AL52" s="48" t="str">
        <f t="shared" si="24"/>
        <v/>
      </c>
      <c r="AM52" s="48" t="str">
        <f t="shared" si="24"/>
        <v/>
      </c>
      <c r="AN52" s="48" t="str">
        <f t="shared" ref="AN52:BS52" si="25">IF(AN10="","",IF(ISERROR(AN10/AM10-1),"",AN10/AM10-1))</f>
        <v/>
      </c>
      <c r="AO52" s="48" t="str">
        <f t="shared" si="25"/>
        <v/>
      </c>
      <c r="AP52" s="48" t="str">
        <f t="shared" si="25"/>
        <v/>
      </c>
      <c r="AQ52" s="48" t="str">
        <f t="shared" si="25"/>
        <v/>
      </c>
      <c r="AR52" s="48" t="str">
        <f t="shared" si="25"/>
        <v/>
      </c>
      <c r="AS52" s="48" t="str">
        <f t="shared" si="25"/>
        <v/>
      </c>
      <c r="AT52" s="48" t="str">
        <f t="shared" si="25"/>
        <v/>
      </c>
      <c r="AU52" s="48" t="str">
        <f t="shared" si="25"/>
        <v/>
      </c>
      <c r="AV52" s="48" t="str">
        <f t="shared" si="25"/>
        <v/>
      </c>
      <c r="AW52" s="48" t="str">
        <f t="shared" si="25"/>
        <v/>
      </c>
      <c r="AX52" s="48" t="str">
        <f t="shared" si="25"/>
        <v/>
      </c>
      <c r="AY52" s="48" t="str">
        <f t="shared" si="25"/>
        <v/>
      </c>
      <c r="AZ52" s="48" t="str">
        <f t="shared" si="25"/>
        <v/>
      </c>
      <c r="BA52" s="48" t="str">
        <f t="shared" si="25"/>
        <v/>
      </c>
      <c r="BB52" s="48" t="str">
        <f t="shared" si="25"/>
        <v/>
      </c>
      <c r="BC52" s="48" t="str">
        <f t="shared" si="25"/>
        <v/>
      </c>
      <c r="BD52" s="48" t="str">
        <f t="shared" si="25"/>
        <v/>
      </c>
      <c r="BE52" s="48" t="str">
        <f t="shared" si="25"/>
        <v/>
      </c>
      <c r="BF52" s="48" t="str">
        <f t="shared" si="25"/>
        <v/>
      </c>
      <c r="BG52" s="48" t="str">
        <f t="shared" si="25"/>
        <v/>
      </c>
      <c r="BH52" s="48" t="str">
        <f t="shared" si="25"/>
        <v/>
      </c>
      <c r="BI52" s="48" t="str">
        <f t="shared" si="25"/>
        <v/>
      </c>
      <c r="BJ52" s="48" t="str">
        <f t="shared" si="25"/>
        <v/>
      </c>
      <c r="BK52" s="48" t="str">
        <f t="shared" si="25"/>
        <v/>
      </c>
      <c r="BL52" s="48" t="str">
        <f t="shared" si="25"/>
        <v/>
      </c>
      <c r="BM52" s="48" t="str">
        <f t="shared" si="25"/>
        <v/>
      </c>
      <c r="BN52" s="48" t="str">
        <f t="shared" si="25"/>
        <v/>
      </c>
      <c r="BO52" s="48" t="str">
        <f t="shared" si="25"/>
        <v/>
      </c>
      <c r="BP52" s="48">
        <f t="shared" si="25"/>
        <v>-1.1984761492680462E-3</v>
      </c>
      <c r="BQ52" s="48">
        <f t="shared" si="25"/>
        <v>-3.6287762572659865E-3</v>
      </c>
      <c r="BR52" s="48">
        <f t="shared" si="25"/>
        <v>-9.7866558155996763E-3</v>
      </c>
      <c r="BS52" s="48">
        <f t="shared" si="25"/>
        <v>-1.5689619470143912E-3</v>
      </c>
      <c r="BT52" s="48">
        <f t="shared" ref="BT52:CY52" si="26">IF(BT10="","",IF(ISERROR(BT10/BS10-1),"",BT10/BS10-1))</f>
        <v>1.4316210060431933E-2</v>
      </c>
      <c r="BU52" s="48">
        <f t="shared" si="26"/>
        <v>-2.3527359561082428E-2</v>
      </c>
      <c r="BV52" s="48">
        <f t="shared" si="26"/>
        <v>-1.2326008611725281E-2</v>
      </c>
      <c r="BW52" s="48">
        <f t="shared" si="26"/>
        <v>-2.8571186853272312E-3</v>
      </c>
      <c r="BX52" s="48">
        <f t="shared" si="26"/>
        <v>1.9576829396436901E-2</v>
      </c>
      <c r="BY52" s="48">
        <f t="shared" si="26"/>
        <v>-1.1926319980415268E-2</v>
      </c>
      <c r="BZ52" s="48">
        <f t="shared" si="26"/>
        <v>1.7141622246714672E-3</v>
      </c>
      <c r="CA52" s="48">
        <f t="shared" si="26"/>
        <v>3.8097346044656533E-3</v>
      </c>
      <c r="CB52" s="48">
        <f t="shared" si="26"/>
        <v>-2.1217513860938286E-3</v>
      </c>
      <c r="CC52" s="48">
        <f t="shared" si="26"/>
        <v>-8.9218356299702872E-4</v>
      </c>
      <c r="CD52" s="48">
        <f t="shared" si="26"/>
        <v>4.6712927593561826E-3</v>
      </c>
      <c r="CE52" s="48">
        <f t="shared" si="26"/>
        <v>1.0261458931897005E-2</v>
      </c>
      <c r="CF52" s="48">
        <f t="shared" si="26"/>
        <v>2.8214568245421345E-2</v>
      </c>
      <c r="CG52" s="48">
        <f t="shared" si="26"/>
        <v>2.3951259006127934E-2</v>
      </c>
      <c r="CH52" s="48">
        <f t="shared" si="26"/>
        <v>-5.3532715413066034E-3</v>
      </c>
      <c r="CI52" s="48">
        <f t="shared" si="26"/>
        <v>1.6606868718083145E-3</v>
      </c>
      <c r="CJ52" s="48">
        <f t="shared" si="26"/>
        <v>-8.8415708472262544E-3</v>
      </c>
      <c r="CK52" s="48">
        <f t="shared" si="26"/>
        <v>1.1746763901802071E-2</v>
      </c>
      <c r="CL52" s="48">
        <f t="shared" si="26"/>
        <v>-2.5253160616329762E-3</v>
      </c>
      <c r="CM52" s="48">
        <f t="shared" si="26"/>
        <v>-3.0093953546926899E-3</v>
      </c>
      <c r="CN52" s="48">
        <f t="shared" si="26"/>
        <v>-2.3583433926404052E-3</v>
      </c>
      <c r="CO52" s="48">
        <f t="shared" si="26"/>
        <v>4.2904529093317212E-3</v>
      </c>
      <c r="CP52" s="48">
        <f t="shared" si="26"/>
        <v>-2.1060174614500049E-3</v>
      </c>
      <c r="CQ52" s="48">
        <f t="shared" si="26"/>
        <v>-1.0973040815607238E-3</v>
      </c>
      <c r="CR52" s="48">
        <f t="shared" si="26"/>
        <v>4.0025179865612603E-3</v>
      </c>
      <c r="CS52" s="48">
        <f t="shared" si="26"/>
        <v>4.5548638826111709E-3</v>
      </c>
      <c r="CT52" s="48">
        <f t="shared" si="26"/>
        <v>-4.3944973932668052E-3</v>
      </c>
      <c r="CU52" s="48">
        <f t="shared" si="26"/>
        <v>1.6529966050443212E-2</v>
      </c>
      <c r="CV52" s="48">
        <f t="shared" si="26"/>
        <v>1.0243280290697765E-2</v>
      </c>
      <c r="CW52" s="48">
        <f t="shared" si="26"/>
        <v>1.5879553045424544E-2</v>
      </c>
      <c r="CX52" s="48">
        <f t="shared" si="26"/>
        <v>4.1172036042491644E-3</v>
      </c>
      <c r="CY52" s="48">
        <f t="shared" si="26"/>
        <v>-6.5946063901500818E-4</v>
      </c>
      <c r="CZ52" s="48">
        <f t="shared" ref="CZ52:EE52" si="27">IF(CZ10="","",IF(ISERROR(CZ10/CY10-1),"",CZ10/CY10-1))</f>
        <v>2.7804900544839306E-2</v>
      </c>
      <c r="DA52" s="48">
        <f t="shared" si="27"/>
        <v>1.8412705891452052E-2</v>
      </c>
      <c r="DB52" s="48">
        <f t="shared" si="27"/>
        <v>2.4616655540403709E-3</v>
      </c>
      <c r="DC52" s="48">
        <f t="shared" si="27"/>
        <v>-1.0727880512879651E-3</v>
      </c>
      <c r="DD52" s="48">
        <f t="shared" si="27"/>
        <v>8.5995924201958118E-3</v>
      </c>
      <c r="DE52" s="48">
        <f t="shared" si="27"/>
        <v>-3.8926427338675795E-3</v>
      </c>
      <c r="DF52" s="48">
        <f t="shared" si="27"/>
        <v>1.346631973111645E-2</v>
      </c>
      <c r="DG52" s="48">
        <f t="shared" si="27"/>
        <v>2.7385184496173665E-3</v>
      </c>
      <c r="DH52" s="48">
        <f t="shared" si="27"/>
        <v>2.471667386261589E-2</v>
      </c>
      <c r="DI52" s="48">
        <f t="shared" si="27"/>
        <v>2.1609518983213505E-2</v>
      </c>
      <c r="DJ52" s="48">
        <f t="shared" si="27"/>
        <v>-1.9750992773138298E-2</v>
      </c>
      <c r="DK52" s="48">
        <f t="shared" si="27"/>
        <v>1.019831094801682E-2</v>
      </c>
      <c r="DL52" s="48">
        <f t="shared" si="27"/>
        <v>-4.9570245007312108E-3</v>
      </c>
      <c r="DM52" s="48">
        <f t="shared" si="27"/>
        <v>1.0075228958219329E-2</v>
      </c>
      <c r="DN52" s="48">
        <f t="shared" si="27"/>
        <v>6.0662306166852087E-3</v>
      </c>
      <c r="DO52" s="48">
        <f t="shared" si="27"/>
        <v>-6.8928258675871046E-3</v>
      </c>
      <c r="DP52" s="48" t="str">
        <f t="shared" si="27"/>
        <v/>
      </c>
      <c r="DQ52" s="48" t="str">
        <f t="shared" si="27"/>
        <v/>
      </c>
      <c r="DR52" s="48" t="str">
        <f t="shared" si="27"/>
        <v/>
      </c>
      <c r="DS52" s="48" t="str">
        <f t="shared" si="27"/>
        <v/>
      </c>
      <c r="DT52" s="48" t="str">
        <f t="shared" si="27"/>
        <v/>
      </c>
      <c r="DU52" s="48" t="str">
        <f t="shared" si="27"/>
        <v/>
      </c>
      <c r="DV52" s="48" t="str">
        <f t="shared" si="27"/>
        <v/>
      </c>
      <c r="DW52" s="48" t="str">
        <f t="shared" si="27"/>
        <v/>
      </c>
      <c r="DX52" s="48" t="str">
        <f t="shared" si="27"/>
        <v/>
      </c>
      <c r="DY52" s="48" t="str">
        <f t="shared" si="27"/>
        <v/>
      </c>
      <c r="DZ52" s="48" t="str">
        <f t="shared" si="27"/>
        <v/>
      </c>
      <c r="EA52" s="48" t="str">
        <f t="shared" si="27"/>
        <v/>
      </c>
      <c r="EB52" s="48" t="str">
        <f t="shared" si="27"/>
        <v/>
      </c>
      <c r="EC52" s="48" t="str">
        <f t="shared" si="27"/>
        <v/>
      </c>
      <c r="ED52" s="48" t="str">
        <f t="shared" si="27"/>
        <v/>
      </c>
      <c r="EE52" s="48" t="str">
        <f t="shared" si="27"/>
        <v/>
      </c>
      <c r="EF52" s="48" t="str">
        <f t="shared" ref="EF52:EL52" si="28">IF(EF10="","",IF(ISERROR(EF10/EE10-1),"",EF10/EE10-1))</f>
        <v/>
      </c>
      <c r="EG52" s="48" t="str">
        <f t="shared" si="28"/>
        <v/>
      </c>
      <c r="EH52" s="48" t="str">
        <f t="shared" si="28"/>
        <v/>
      </c>
      <c r="EI52" s="48" t="str">
        <f t="shared" si="28"/>
        <v/>
      </c>
      <c r="EJ52" s="48" t="str">
        <f t="shared" si="28"/>
        <v/>
      </c>
      <c r="EK52" s="48" t="str">
        <f t="shared" si="28"/>
        <v/>
      </c>
      <c r="EL52" s="48" t="str">
        <f t="shared" si="28"/>
        <v/>
      </c>
    </row>
    <row r="53" spans="2:142" x14ac:dyDescent="0.25">
      <c r="B53" s="22">
        <f t="shared" si="18"/>
        <v>3</v>
      </c>
      <c r="C53" s="23" t="str">
        <f t="shared" si="18"/>
        <v>CARNE DE VACUNO</v>
      </c>
      <c r="D53" s="24">
        <f t="shared" si="18"/>
        <v>1.7129100000000001E-2</v>
      </c>
      <c r="E53" s="24">
        <f t="shared" si="18"/>
        <v>0.13898300959057497</v>
      </c>
      <c r="G53" s="48"/>
      <c r="H53" s="48" t="str">
        <f t="shared" ref="H53:AM53" si="29">IF(H11="","",IF(ISERROR(H11/G11-1),"",H11/G11-1))</f>
        <v/>
      </c>
      <c r="I53" s="48" t="str">
        <f t="shared" si="29"/>
        <v/>
      </c>
      <c r="J53" s="48" t="str">
        <f t="shared" si="29"/>
        <v/>
      </c>
      <c r="K53" s="48" t="str">
        <f t="shared" si="29"/>
        <v/>
      </c>
      <c r="L53" s="48" t="str">
        <f t="shared" si="29"/>
        <v/>
      </c>
      <c r="M53" s="48" t="str">
        <f t="shared" si="29"/>
        <v/>
      </c>
      <c r="N53" s="48" t="str">
        <f t="shared" si="29"/>
        <v/>
      </c>
      <c r="O53" s="48">
        <f t="shared" si="29"/>
        <v>-2.5585783852068444E-2</v>
      </c>
      <c r="P53" s="48">
        <f t="shared" si="29"/>
        <v>-9.9318306358963104E-3</v>
      </c>
      <c r="Q53" s="48">
        <f t="shared" si="29"/>
        <v>-3.1387959996126424E-3</v>
      </c>
      <c r="R53" s="48">
        <f t="shared" si="29"/>
        <v>-4.9944152012038723E-2</v>
      </c>
      <c r="S53" s="48">
        <f t="shared" si="29"/>
        <v>1.2225047753058993E-2</v>
      </c>
      <c r="T53" s="48">
        <f t="shared" si="29"/>
        <v>-6.4402462732799926E-3</v>
      </c>
      <c r="U53" s="48">
        <f t="shared" si="29"/>
        <v>-3.7485673410213471E-2</v>
      </c>
      <c r="V53" s="48">
        <f t="shared" si="29"/>
        <v>-1.2494345872786417E-2</v>
      </c>
      <c r="W53" s="48">
        <f t="shared" si="29"/>
        <v>2.1878114547959404E-2</v>
      </c>
      <c r="X53" s="48">
        <f t="shared" si="29"/>
        <v>-1.5555274868703117E-2</v>
      </c>
      <c r="Y53" s="48">
        <f t="shared" si="29"/>
        <v>-1.9895757847712581E-2</v>
      </c>
      <c r="Z53" s="48">
        <f t="shared" si="29"/>
        <v>5.5356565593461138E-2</v>
      </c>
      <c r="AA53" s="48">
        <f t="shared" si="29"/>
        <v>-2.1672833032289396E-2</v>
      </c>
      <c r="AB53" s="48">
        <f t="shared" si="29"/>
        <v>-1.7833772846561624E-2</v>
      </c>
      <c r="AC53" s="48">
        <f t="shared" si="29"/>
        <v>-2.5088842835418568E-2</v>
      </c>
      <c r="AD53" s="48">
        <f t="shared" si="29"/>
        <v>-2.5996986341020212E-2</v>
      </c>
      <c r="AE53" s="48">
        <f t="shared" si="29"/>
        <v>4.6733483194344894E-2</v>
      </c>
      <c r="AF53" s="48">
        <f t="shared" si="29"/>
        <v>-1.0973639786859612E-2</v>
      </c>
      <c r="AG53" s="48">
        <f t="shared" si="29"/>
        <v>2.3828396157675513E-2</v>
      </c>
      <c r="AH53" s="48">
        <f t="shared" si="29"/>
        <v>7.0244390843932081E-3</v>
      </c>
      <c r="AI53" s="48">
        <f t="shared" si="29"/>
        <v>1.504862423524167E-2</v>
      </c>
      <c r="AJ53" s="48">
        <f t="shared" si="29"/>
        <v>1.5660967696461858E-2</v>
      </c>
      <c r="AK53" s="48">
        <f t="shared" si="29"/>
        <v>1.3816312694397537E-2</v>
      </c>
      <c r="AL53" s="48">
        <f t="shared" si="29"/>
        <v>1.066042745643192E-2</v>
      </c>
      <c r="AM53" s="48">
        <f t="shared" si="29"/>
        <v>-5.3372179226200966E-3</v>
      </c>
      <c r="AN53" s="48">
        <f t="shared" ref="AN53:BS53" si="30">IF(AN11="","",IF(ISERROR(AN11/AM11-1),"",AN11/AM11-1))</f>
        <v>2.3332661466935134E-2</v>
      </c>
      <c r="AO53" s="48">
        <f t="shared" si="30"/>
        <v>4.217612065947729E-2</v>
      </c>
      <c r="AP53" s="48">
        <f t="shared" si="30"/>
        <v>1.8073090144065995E-2</v>
      </c>
      <c r="AQ53" s="48">
        <f t="shared" si="30"/>
        <v>-3.6508018676434384E-3</v>
      </c>
      <c r="AR53" s="48">
        <f t="shared" si="30"/>
        <v>-4.8749949715856111E-3</v>
      </c>
      <c r="AS53" s="48">
        <f t="shared" si="30"/>
        <v>5.5447770158935095E-2</v>
      </c>
      <c r="AT53" s="48">
        <f t="shared" si="30"/>
        <v>4.4198278176202477E-2</v>
      </c>
      <c r="AU53" s="48">
        <f t="shared" si="30"/>
        <v>-3.3042141885513132E-2</v>
      </c>
      <c r="AV53" s="48">
        <f t="shared" si="30"/>
        <v>-3.2517226228115037E-2</v>
      </c>
      <c r="AW53" s="48">
        <f t="shared" si="30"/>
        <v>-7.63577816681138E-3</v>
      </c>
      <c r="AX53" s="48">
        <f t="shared" si="30"/>
        <v>8.197687970934453E-3</v>
      </c>
      <c r="AY53" s="48">
        <f t="shared" si="30"/>
        <v>1.0681666635077525E-2</v>
      </c>
      <c r="AZ53" s="48">
        <f t="shared" si="30"/>
        <v>4.2644127907620621E-2</v>
      </c>
      <c r="BA53" s="48">
        <f t="shared" si="30"/>
        <v>3.7335144747582039E-2</v>
      </c>
      <c r="BB53" s="48">
        <f t="shared" si="30"/>
        <v>-2.701529729478791E-3</v>
      </c>
      <c r="BC53" s="48">
        <f t="shared" si="30"/>
        <v>-1.0948944831186358E-2</v>
      </c>
      <c r="BD53" s="48">
        <f t="shared" si="30"/>
        <v>1.5360272671841813E-2</v>
      </c>
      <c r="BE53" s="48">
        <f t="shared" si="30"/>
        <v>1.9479441205976666E-2</v>
      </c>
      <c r="BF53" s="48">
        <f t="shared" si="30"/>
        <v>-3.549725146632321E-3</v>
      </c>
      <c r="BG53" s="48">
        <f t="shared" si="30"/>
        <v>-1.4801011905592687E-2</v>
      </c>
      <c r="BH53" s="48">
        <f t="shared" si="30"/>
        <v>-2.4511965660829915E-2</v>
      </c>
      <c r="BI53" s="48">
        <f t="shared" si="30"/>
        <v>-9.7187900619989387E-3</v>
      </c>
      <c r="BJ53" s="48">
        <f t="shared" si="30"/>
        <v>2.0401679582059629E-2</v>
      </c>
      <c r="BK53" s="48">
        <f t="shared" si="30"/>
        <v>1.0690201023771939E-2</v>
      </c>
      <c r="BL53" s="48">
        <f t="shared" si="30"/>
        <v>-2.6354316458040428E-3</v>
      </c>
      <c r="BM53" s="48">
        <f t="shared" si="30"/>
        <v>-7.6181960921583025E-3</v>
      </c>
      <c r="BN53" s="48">
        <f t="shared" si="30"/>
        <v>-2.9626756913946117E-2</v>
      </c>
      <c r="BO53" s="48">
        <f t="shared" si="30"/>
        <v>1.6494276439453115E-2</v>
      </c>
      <c r="BP53" s="48">
        <f t="shared" si="30"/>
        <v>-2.0679932639107612E-2</v>
      </c>
      <c r="BQ53" s="48">
        <f t="shared" si="30"/>
        <v>-5.3472607389568605E-3</v>
      </c>
      <c r="BR53" s="48">
        <f t="shared" si="30"/>
        <v>-1.8775254004200659E-2</v>
      </c>
      <c r="BS53" s="48">
        <f t="shared" si="30"/>
        <v>6.8347204875132128E-3</v>
      </c>
      <c r="BT53" s="48">
        <f t="shared" ref="BT53:CY53" si="31">IF(BT11="","",IF(ISERROR(BT11/BS11-1),"",BT11/BS11-1))</f>
        <v>-3.1785833516748685E-3</v>
      </c>
      <c r="BU53" s="48">
        <f t="shared" si="31"/>
        <v>1.8291388259469965E-2</v>
      </c>
      <c r="BV53" s="48">
        <f t="shared" si="31"/>
        <v>1.6126693295100525E-2</v>
      </c>
      <c r="BW53" s="48">
        <f t="shared" si="31"/>
        <v>7.9671025385503746E-3</v>
      </c>
      <c r="BX53" s="48">
        <f t="shared" si="31"/>
        <v>-4.1957785676547399E-3</v>
      </c>
      <c r="BY53" s="48">
        <f t="shared" si="31"/>
        <v>1.5046883747249051E-2</v>
      </c>
      <c r="BZ53" s="48">
        <f t="shared" si="31"/>
        <v>-1.5534891511170823E-3</v>
      </c>
      <c r="CA53" s="48">
        <f t="shared" si="31"/>
        <v>6.8749251917938903E-3</v>
      </c>
      <c r="CB53" s="48">
        <f t="shared" si="31"/>
        <v>3.8799052689399982E-3</v>
      </c>
      <c r="CC53" s="48">
        <f t="shared" si="31"/>
        <v>9.2308676369048381E-3</v>
      </c>
      <c r="CD53" s="48">
        <f t="shared" si="31"/>
        <v>-9.4742724888696728E-4</v>
      </c>
      <c r="CE53" s="48">
        <f t="shared" si="31"/>
        <v>1.1005864227795259E-2</v>
      </c>
      <c r="CF53" s="48">
        <f t="shared" si="31"/>
        <v>-1.355103225020593E-2</v>
      </c>
      <c r="CG53" s="48">
        <f t="shared" si="31"/>
        <v>6.5338447555662871E-3</v>
      </c>
      <c r="CH53" s="48">
        <f t="shared" si="31"/>
        <v>-3.5179627738175512E-3</v>
      </c>
      <c r="CI53" s="48">
        <f t="shared" si="31"/>
        <v>-8.1441109472091266E-4</v>
      </c>
      <c r="CJ53" s="48">
        <f t="shared" si="31"/>
        <v>2.5376982530310288E-2</v>
      </c>
      <c r="CK53" s="48">
        <f t="shared" si="31"/>
        <v>1.9573995736001937E-3</v>
      </c>
      <c r="CL53" s="48">
        <f t="shared" si="31"/>
        <v>-9.0435757940621198E-4</v>
      </c>
      <c r="CM53" s="48">
        <f t="shared" si="31"/>
        <v>-6.0791661871395508E-4</v>
      </c>
      <c r="CN53" s="48">
        <f t="shared" si="31"/>
        <v>-1.8278280646227829E-3</v>
      </c>
      <c r="CO53" s="48">
        <f t="shared" si="31"/>
        <v>2.1128835040713501E-3</v>
      </c>
      <c r="CP53" s="48">
        <f t="shared" si="31"/>
        <v>-2.3786166219283977E-3</v>
      </c>
      <c r="CQ53" s="48">
        <f t="shared" si="31"/>
        <v>3.1950296217249097E-3</v>
      </c>
      <c r="CR53" s="48">
        <f t="shared" si="31"/>
        <v>3.4515624205890827E-3</v>
      </c>
      <c r="CS53" s="48">
        <f t="shared" si="31"/>
        <v>5.9011113084295186E-3</v>
      </c>
      <c r="CT53" s="48">
        <f t="shared" si="31"/>
        <v>1.7254635942807184E-2</v>
      </c>
      <c r="CU53" s="48">
        <f t="shared" si="31"/>
        <v>1.6706672055464278E-2</v>
      </c>
      <c r="CV53" s="48">
        <f t="shared" si="31"/>
        <v>1.3945956100570589E-2</v>
      </c>
      <c r="CW53" s="48">
        <f t="shared" si="31"/>
        <v>-1.2448245831865989E-2</v>
      </c>
      <c r="CX53" s="48">
        <f t="shared" si="31"/>
        <v>-1.6414658656713876E-2</v>
      </c>
      <c r="CY53" s="48">
        <f t="shared" si="31"/>
        <v>5.0582662130602696E-3</v>
      </c>
      <c r="CZ53" s="48">
        <f t="shared" ref="CZ53:EE53" si="32">IF(CZ11="","",IF(ISERROR(CZ11/CY11-1),"",CZ11/CY11-1))</f>
        <v>-1.3080190163883509E-2</v>
      </c>
      <c r="DA53" s="48">
        <f t="shared" si="32"/>
        <v>3.9181950063831295E-3</v>
      </c>
      <c r="DB53" s="48">
        <f t="shared" si="32"/>
        <v>-4.4591258917792143E-3</v>
      </c>
      <c r="DC53" s="48">
        <f t="shared" si="32"/>
        <v>-4.0069775540456654E-3</v>
      </c>
      <c r="DD53" s="48">
        <f t="shared" si="32"/>
        <v>1.0083365559021784E-2</v>
      </c>
      <c r="DE53" s="48">
        <f t="shared" si="32"/>
        <v>9.5413514706188529E-3</v>
      </c>
      <c r="DF53" s="48">
        <f t="shared" si="32"/>
        <v>1.8675718333884817E-3</v>
      </c>
      <c r="DG53" s="48">
        <f t="shared" si="32"/>
        <v>1.3395334698913519E-3</v>
      </c>
      <c r="DH53" s="48">
        <f t="shared" si="32"/>
        <v>-2.0171327479709955E-3</v>
      </c>
      <c r="DI53" s="48">
        <f t="shared" si="32"/>
        <v>2.5930104944134058E-3</v>
      </c>
      <c r="DJ53" s="48">
        <f t="shared" si="32"/>
        <v>-1.3129089515393155E-2</v>
      </c>
      <c r="DK53" s="48">
        <f t="shared" si="32"/>
        <v>8.7193956031141884E-3</v>
      </c>
      <c r="DL53" s="48">
        <f t="shared" si="32"/>
        <v>4.8553237155932738E-3</v>
      </c>
      <c r="DM53" s="48">
        <f t="shared" si="32"/>
        <v>3.304450879546561E-3</v>
      </c>
      <c r="DN53" s="48">
        <f t="shared" si="32"/>
        <v>-7.2014054686975193E-4</v>
      </c>
      <c r="DO53" s="48">
        <f t="shared" si="32"/>
        <v>-1.1475337999521162E-2</v>
      </c>
      <c r="DP53" s="48" t="str">
        <f t="shared" si="32"/>
        <v/>
      </c>
      <c r="DQ53" s="48" t="str">
        <f t="shared" si="32"/>
        <v/>
      </c>
      <c r="DR53" s="48" t="str">
        <f t="shared" si="32"/>
        <v/>
      </c>
      <c r="DS53" s="48" t="str">
        <f t="shared" si="32"/>
        <v/>
      </c>
      <c r="DT53" s="48" t="str">
        <f t="shared" si="32"/>
        <v/>
      </c>
      <c r="DU53" s="48" t="str">
        <f t="shared" si="32"/>
        <v/>
      </c>
      <c r="DV53" s="48" t="str">
        <f t="shared" si="32"/>
        <v/>
      </c>
      <c r="DW53" s="48" t="str">
        <f t="shared" si="32"/>
        <v/>
      </c>
      <c r="DX53" s="48" t="str">
        <f t="shared" si="32"/>
        <v/>
      </c>
      <c r="DY53" s="48" t="str">
        <f t="shared" si="32"/>
        <v/>
      </c>
      <c r="DZ53" s="48" t="str">
        <f t="shared" si="32"/>
        <v/>
      </c>
      <c r="EA53" s="48" t="str">
        <f t="shared" si="32"/>
        <v/>
      </c>
      <c r="EB53" s="48" t="str">
        <f t="shared" si="32"/>
        <v/>
      </c>
      <c r="EC53" s="48" t="str">
        <f t="shared" si="32"/>
        <v/>
      </c>
      <c r="ED53" s="48" t="str">
        <f t="shared" si="32"/>
        <v/>
      </c>
      <c r="EE53" s="48" t="str">
        <f t="shared" si="32"/>
        <v/>
      </c>
      <c r="EF53" s="48" t="str">
        <f t="shared" ref="EF53:EL53" si="33">IF(EF11="","",IF(ISERROR(EF11/EE11-1),"",EF11/EE11-1))</f>
        <v/>
      </c>
      <c r="EG53" s="48" t="str">
        <f t="shared" si="33"/>
        <v/>
      </c>
      <c r="EH53" s="48" t="str">
        <f t="shared" si="33"/>
        <v/>
      </c>
      <c r="EI53" s="48" t="str">
        <f t="shared" si="33"/>
        <v/>
      </c>
      <c r="EJ53" s="48" t="str">
        <f t="shared" si="33"/>
        <v/>
      </c>
      <c r="EK53" s="48" t="str">
        <f t="shared" si="33"/>
        <v/>
      </c>
      <c r="EL53" s="48" t="str">
        <f t="shared" si="33"/>
        <v/>
      </c>
    </row>
    <row r="54" spans="2:142" x14ac:dyDescent="0.25">
      <c r="B54" s="22">
        <f t="shared" si="18"/>
        <v>4</v>
      </c>
      <c r="C54" s="23" t="str">
        <f t="shared" si="18"/>
        <v>CARNE DE CERDO</v>
      </c>
      <c r="D54" s="24">
        <f t="shared" si="18"/>
        <v>4.7526000000000001E-3</v>
      </c>
      <c r="E54" s="24">
        <f t="shared" si="18"/>
        <v>3.8561900589065778E-2</v>
      </c>
      <c r="G54" s="48"/>
      <c r="H54" s="48" t="str">
        <f t="shared" ref="H54:AM54" si="34">IF(H12="","",IF(ISERROR(H12/G12-1),"",H12/G12-1))</f>
        <v/>
      </c>
      <c r="I54" s="48" t="str">
        <f t="shared" si="34"/>
        <v/>
      </c>
      <c r="J54" s="48" t="str">
        <f t="shared" si="34"/>
        <v/>
      </c>
      <c r="K54" s="48" t="str">
        <f t="shared" si="34"/>
        <v/>
      </c>
      <c r="L54" s="48" t="str">
        <f t="shared" si="34"/>
        <v/>
      </c>
      <c r="M54" s="48" t="str">
        <f t="shared" si="34"/>
        <v/>
      </c>
      <c r="N54" s="48" t="str">
        <f t="shared" si="34"/>
        <v/>
      </c>
      <c r="O54" s="48">
        <f t="shared" si="34"/>
        <v>-1.2140099585888131E-2</v>
      </c>
      <c r="P54" s="48">
        <f t="shared" si="34"/>
        <v>-5.1671017201736058E-2</v>
      </c>
      <c r="Q54" s="48">
        <f t="shared" si="34"/>
        <v>-0.13960900556689027</v>
      </c>
      <c r="R54" s="48">
        <f t="shared" si="34"/>
        <v>-1.7317415386566282E-3</v>
      </c>
      <c r="S54" s="48">
        <f t="shared" si="34"/>
        <v>9.5516464211655494E-2</v>
      </c>
      <c r="T54" s="48">
        <f t="shared" si="34"/>
        <v>4.9289180975553792E-2</v>
      </c>
      <c r="U54" s="48">
        <f t="shared" si="34"/>
        <v>1.097996989434602E-2</v>
      </c>
      <c r="V54" s="48">
        <f t="shared" si="34"/>
        <v>-5.9640617048360989E-3</v>
      </c>
      <c r="W54" s="48">
        <f t="shared" si="34"/>
        <v>-4.0153558019737634E-3</v>
      </c>
      <c r="X54" s="48">
        <f t="shared" si="34"/>
        <v>6.7770733686158602E-2</v>
      </c>
      <c r="Y54" s="48">
        <f t="shared" si="34"/>
        <v>-5.3005983002353596E-2</v>
      </c>
      <c r="Z54" s="48">
        <f t="shared" si="34"/>
        <v>0.12259363963497272</v>
      </c>
      <c r="AA54" s="48">
        <f t="shared" si="34"/>
        <v>4.4444716139271589E-2</v>
      </c>
      <c r="AB54" s="48">
        <f t="shared" si="34"/>
        <v>-5.5629480539794773E-2</v>
      </c>
      <c r="AC54" s="48">
        <f t="shared" si="34"/>
        <v>-1.8701005240755353E-2</v>
      </c>
      <c r="AD54" s="48">
        <f t="shared" si="34"/>
        <v>1.3189034698771529E-2</v>
      </c>
      <c r="AE54" s="48">
        <f t="shared" si="34"/>
        <v>8.6869291430704543E-3</v>
      </c>
      <c r="AF54" s="48">
        <f t="shared" si="34"/>
        <v>-4.5372431709953531E-3</v>
      </c>
      <c r="AG54" s="48">
        <f t="shared" si="34"/>
        <v>-2.4992149877240966E-3</v>
      </c>
      <c r="AH54" s="48">
        <f t="shared" si="34"/>
        <v>2.215319922796577E-2</v>
      </c>
      <c r="AI54" s="48">
        <f t="shared" si="34"/>
        <v>7.373956264020487E-3</v>
      </c>
      <c r="AJ54" s="48">
        <f t="shared" si="34"/>
        <v>3.7744543528982488E-2</v>
      </c>
      <c r="AK54" s="48">
        <f t="shared" si="34"/>
        <v>1.0989790330472538E-2</v>
      </c>
      <c r="AL54" s="48">
        <f t="shared" si="34"/>
        <v>1.8789619833093241E-2</v>
      </c>
      <c r="AM54" s="48">
        <f t="shared" si="34"/>
        <v>1.4959542624371824E-2</v>
      </c>
      <c r="AN54" s="48">
        <f t="shared" ref="AN54:BS54" si="35">IF(AN12="","",IF(ISERROR(AN12/AM12-1),"",AN12/AM12-1))</f>
        <v>-1.5659467103689817E-2</v>
      </c>
      <c r="AO54" s="48">
        <f t="shared" si="35"/>
        <v>-1.5262444178658185E-2</v>
      </c>
      <c r="AP54" s="48">
        <f t="shared" si="35"/>
        <v>3.6950487692652079E-2</v>
      </c>
      <c r="AQ54" s="48">
        <f t="shared" si="35"/>
        <v>3.5584224322930735E-2</v>
      </c>
      <c r="AR54" s="48">
        <f t="shared" si="35"/>
        <v>-3.1116181848097835E-2</v>
      </c>
      <c r="AS54" s="48">
        <f t="shared" si="35"/>
        <v>2.125990850482129E-2</v>
      </c>
      <c r="AT54" s="48">
        <f t="shared" si="35"/>
        <v>-2.2255297728022816E-2</v>
      </c>
      <c r="AU54" s="48">
        <f t="shared" si="35"/>
        <v>2.7111506333253876E-2</v>
      </c>
      <c r="AV54" s="48">
        <f t="shared" si="35"/>
        <v>-6.2397217594855836E-2</v>
      </c>
      <c r="AW54" s="48">
        <f t="shared" si="35"/>
        <v>-2.9720525257718178E-3</v>
      </c>
      <c r="AX54" s="48">
        <f t="shared" si="35"/>
        <v>4.0748084649643745E-2</v>
      </c>
      <c r="AY54" s="48">
        <f t="shared" si="35"/>
        <v>7.3488759439528817E-2</v>
      </c>
      <c r="AZ54" s="48">
        <f t="shared" si="35"/>
        <v>7.6991555449443805E-3</v>
      </c>
      <c r="BA54" s="48">
        <f t="shared" si="35"/>
        <v>3.1317165002708869E-3</v>
      </c>
      <c r="BB54" s="48">
        <f t="shared" si="35"/>
        <v>4.7812742300783029E-2</v>
      </c>
      <c r="BC54" s="48">
        <f t="shared" si="35"/>
        <v>-6.8393913423994146E-3</v>
      </c>
      <c r="BD54" s="48">
        <f t="shared" si="35"/>
        <v>-2.6714751095755163E-2</v>
      </c>
      <c r="BE54" s="48">
        <f t="shared" si="35"/>
        <v>-1.865755978409489E-2</v>
      </c>
      <c r="BF54" s="48">
        <f t="shared" si="35"/>
        <v>-0.10154768615462773</v>
      </c>
      <c r="BG54" s="48">
        <f t="shared" si="35"/>
        <v>7.7223888634514459E-4</v>
      </c>
      <c r="BH54" s="48">
        <f t="shared" si="35"/>
        <v>7.5378062261843848E-3</v>
      </c>
      <c r="BI54" s="48">
        <f t="shared" si="35"/>
        <v>-1.5850278403839457E-2</v>
      </c>
      <c r="BJ54" s="48">
        <f t="shared" si="35"/>
        <v>4.3948894187989973E-2</v>
      </c>
      <c r="BK54" s="48">
        <f t="shared" si="35"/>
        <v>9.3669522435383623E-2</v>
      </c>
      <c r="BL54" s="48">
        <f t="shared" si="35"/>
        <v>-2.0646265301978994E-3</v>
      </c>
      <c r="BM54" s="48">
        <f t="shared" si="35"/>
        <v>-6.9170915566615365E-3</v>
      </c>
      <c r="BN54" s="48">
        <f t="shared" si="35"/>
        <v>3.0657981419131453E-2</v>
      </c>
      <c r="BO54" s="48">
        <f t="shared" si="35"/>
        <v>-4.3951038751461446E-2</v>
      </c>
      <c r="BP54" s="48">
        <f t="shared" si="35"/>
        <v>-5.0129990505807687E-2</v>
      </c>
      <c r="BQ54" s="48">
        <f t="shared" si="35"/>
        <v>7.1781787744051861E-3</v>
      </c>
      <c r="BR54" s="48">
        <f t="shared" si="35"/>
        <v>5.6389558276856988E-3</v>
      </c>
      <c r="BS54" s="48">
        <f t="shared" si="35"/>
        <v>-6.2976318057789138E-3</v>
      </c>
      <c r="BT54" s="48">
        <f t="shared" ref="BT54:CY54" si="36">IF(BT12="","",IF(ISERROR(BT12/BS12-1),"",BT12/BS12-1))</f>
        <v>-8.4095542478485052E-3</v>
      </c>
      <c r="BU54" s="48">
        <f t="shared" si="36"/>
        <v>-1.0192405132227744E-2</v>
      </c>
      <c r="BV54" s="48">
        <f t="shared" si="36"/>
        <v>2.0147613669080577E-2</v>
      </c>
      <c r="BW54" s="48">
        <f t="shared" si="36"/>
        <v>7.8292393610518873E-2</v>
      </c>
      <c r="BX54" s="48">
        <f t="shared" si="36"/>
        <v>-1.1877693756557783E-2</v>
      </c>
      <c r="BY54" s="48">
        <f t="shared" si="36"/>
        <v>1.0735783711089297E-2</v>
      </c>
      <c r="BZ54" s="48">
        <f t="shared" si="36"/>
        <v>1.0233022051769458E-2</v>
      </c>
      <c r="CA54" s="48">
        <f t="shared" si="36"/>
        <v>1.1388737743353694E-2</v>
      </c>
      <c r="CB54" s="48">
        <f t="shared" si="36"/>
        <v>-1.485894093567186E-2</v>
      </c>
      <c r="CC54" s="48">
        <f t="shared" si="36"/>
        <v>3.2491713015252444E-3</v>
      </c>
      <c r="CD54" s="48">
        <f t="shared" si="36"/>
        <v>-9.1367291796418115E-4</v>
      </c>
      <c r="CE54" s="48">
        <f t="shared" si="36"/>
        <v>8.838550435938286E-3</v>
      </c>
      <c r="CF54" s="48">
        <f t="shared" si="36"/>
        <v>2.1775682221223169E-2</v>
      </c>
      <c r="CG54" s="48">
        <f t="shared" si="36"/>
        <v>2.081154006920527E-2</v>
      </c>
      <c r="CH54" s="48">
        <f t="shared" si="36"/>
        <v>2.5424716737709296E-2</v>
      </c>
      <c r="CI54" s="48">
        <f t="shared" si="36"/>
        <v>6.971659156767851E-2</v>
      </c>
      <c r="CJ54" s="48">
        <f t="shared" si="36"/>
        <v>4.013490815376608E-3</v>
      </c>
      <c r="CK54" s="48">
        <f t="shared" si="36"/>
        <v>-1.034325471513331E-2</v>
      </c>
      <c r="CL54" s="48">
        <f t="shared" si="36"/>
        <v>-3.3139562962264391E-3</v>
      </c>
      <c r="CM54" s="48">
        <f t="shared" si="36"/>
        <v>-1.1751921951877242E-2</v>
      </c>
      <c r="CN54" s="48">
        <f t="shared" si="36"/>
        <v>-1.7066066913187683E-2</v>
      </c>
      <c r="CO54" s="48">
        <f t="shared" si="36"/>
        <v>-9.2862703617107023E-3</v>
      </c>
      <c r="CP54" s="48">
        <f t="shared" si="36"/>
        <v>-1.1425425488486018E-3</v>
      </c>
      <c r="CQ54" s="48">
        <f t="shared" si="36"/>
        <v>-9.5796790135203036E-3</v>
      </c>
      <c r="CR54" s="48">
        <f t="shared" si="36"/>
        <v>-2.4956139373111252E-3</v>
      </c>
      <c r="CS54" s="48">
        <f t="shared" si="36"/>
        <v>9.5907608920686727E-4</v>
      </c>
      <c r="CT54" s="48">
        <f t="shared" si="36"/>
        <v>1.2224901256713938E-2</v>
      </c>
      <c r="CU54" s="48">
        <f t="shared" si="36"/>
        <v>2.6333371294513519E-2</v>
      </c>
      <c r="CV54" s="48">
        <f t="shared" si="36"/>
        <v>-2.4606479444943097E-2</v>
      </c>
      <c r="CW54" s="48">
        <f t="shared" si="36"/>
        <v>-1.4117079302745972E-2</v>
      </c>
      <c r="CX54" s="48">
        <f t="shared" si="36"/>
        <v>3.6717611667416161E-3</v>
      </c>
      <c r="CY54" s="48">
        <f t="shared" si="36"/>
        <v>7.7533190064307256E-3</v>
      </c>
      <c r="CZ54" s="48">
        <f t="shared" ref="CZ54:EE54" si="37">IF(CZ12="","",IF(ISERROR(CZ12/CY12-1),"",CZ12/CY12-1))</f>
        <v>-1.7018643198243866E-2</v>
      </c>
      <c r="DA54" s="48">
        <f t="shared" si="37"/>
        <v>-1.6331377922177426E-3</v>
      </c>
      <c r="DB54" s="48">
        <f t="shared" si="37"/>
        <v>-5.555546601302308E-3</v>
      </c>
      <c r="DC54" s="48">
        <f t="shared" si="37"/>
        <v>-7.1727458639858632E-4</v>
      </c>
      <c r="DD54" s="48">
        <f t="shared" si="37"/>
        <v>5.8661536518529456E-3</v>
      </c>
      <c r="DE54" s="48">
        <f t="shared" si="37"/>
        <v>3.1136762442214083E-2</v>
      </c>
      <c r="DF54" s="48">
        <f t="shared" si="37"/>
        <v>8.1947290155508501E-3</v>
      </c>
      <c r="DG54" s="48">
        <f t="shared" si="37"/>
        <v>2.1833085764665805E-2</v>
      </c>
      <c r="DH54" s="48">
        <f t="shared" si="37"/>
        <v>-1.3330598295740681E-2</v>
      </c>
      <c r="DI54" s="48">
        <f t="shared" si="37"/>
        <v>-1.1088678565117638E-2</v>
      </c>
      <c r="DJ54" s="48">
        <f t="shared" si="37"/>
        <v>7.15667244877638E-3</v>
      </c>
      <c r="DK54" s="48">
        <f t="shared" si="37"/>
        <v>-1.0861371389808694E-3</v>
      </c>
      <c r="DL54" s="48">
        <f t="shared" si="37"/>
        <v>-8.1287783807624248E-3</v>
      </c>
      <c r="DM54" s="48">
        <f t="shared" si="37"/>
        <v>-1.8700133088505044E-3</v>
      </c>
      <c r="DN54" s="48">
        <f t="shared" si="37"/>
        <v>-1.6757705410703649E-2</v>
      </c>
      <c r="DO54" s="48">
        <f t="shared" si="37"/>
        <v>7.2391679773715634E-3</v>
      </c>
      <c r="DP54" s="48" t="str">
        <f t="shared" si="37"/>
        <v/>
      </c>
      <c r="DQ54" s="48" t="str">
        <f t="shared" si="37"/>
        <v/>
      </c>
      <c r="DR54" s="48" t="str">
        <f t="shared" si="37"/>
        <v/>
      </c>
      <c r="DS54" s="48" t="str">
        <f t="shared" si="37"/>
        <v/>
      </c>
      <c r="DT54" s="48" t="str">
        <f t="shared" si="37"/>
        <v/>
      </c>
      <c r="DU54" s="48" t="str">
        <f t="shared" si="37"/>
        <v/>
      </c>
      <c r="DV54" s="48" t="str">
        <f t="shared" si="37"/>
        <v/>
      </c>
      <c r="DW54" s="48" t="str">
        <f t="shared" si="37"/>
        <v/>
      </c>
      <c r="DX54" s="48" t="str">
        <f t="shared" si="37"/>
        <v/>
      </c>
      <c r="DY54" s="48" t="str">
        <f t="shared" si="37"/>
        <v/>
      </c>
      <c r="DZ54" s="48" t="str">
        <f t="shared" si="37"/>
        <v/>
      </c>
      <c r="EA54" s="48" t="str">
        <f t="shared" si="37"/>
        <v/>
      </c>
      <c r="EB54" s="48" t="str">
        <f t="shared" si="37"/>
        <v/>
      </c>
      <c r="EC54" s="48" t="str">
        <f t="shared" si="37"/>
        <v/>
      </c>
      <c r="ED54" s="48" t="str">
        <f t="shared" si="37"/>
        <v/>
      </c>
      <c r="EE54" s="48" t="str">
        <f t="shared" si="37"/>
        <v/>
      </c>
      <c r="EF54" s="48" t="str">
        <f t="shared" ref="EF54:EL54" si="38">IF(EF12="","",IF(ISERROR(EF12/EE12-1),"",EF12/EE12-1))</f>
        <v/>
      </c>
      <c r="EG54" s="48" t="str">
        <f t="shared" si="38"/>
        <v/>
      </c>
      <c r="EH54" s="48" t="str">
        <f t="shared" si="38"/>
        <v/>
      </c>
      <c r="EI54" s="48" t="str">
        <f t="shared" si="38"/>
        <v/>
      </c>
      <c r="EJ54" s="48" t="str">
        <f t="shared" si="38"/>
        <v/>
      </c>
      <c r="EK54" s="48" t="str">
        <f t="shared" si="38"/>
        <v/>
      </c>
      <c r="EL54" s="48" t="str">
        <f t="shared" si="38"/>
        <v/>
      </c>
    </row>
    <row r="55" spans="2:142" x14ac:dyDescent="0.25">
      <c r="B55" s="26">
        <f t="shared" si="18"/>
        <v>5</v>
      </c>
      <c r="C55" s="27" t="str">
        <f t="shared" si="18"/>
        <v>CARNE DE PAVO</v>
      </c>
      <c r="D55" s="28">
        <f t="shared" si="18"/>
        <v>1.0208999999999999E-3</v>
      </c>
      <c r="E55" s="28">
        <f t="shared" si="18"/>
        <v>8.2834331337325352E-3</v>
      </c>
      <c r="G55" s="49"/>
      <c r="H55" s="49" t="str">
        <f t="shared" ref="H55:AM55" si="39">IF(H13="","",IF(ISERROR(H13/G13-1),"",H13/G13-1))</f>
        <v/>
      </c>
      <c r="I55" s="49" t="str">
        <f t="shared" si="39"/>
        <v/>
      </c>
      <c r="J55" s="49" t="str">
        <f t="shared" si="39"/>
        <v/>
      </c>
      <c r="K55" s="49" t="str">
        <f t="shared" si="39"/>
        <v/>
      </c>
      <c r="L55" s="49" t="str">
        <f t="shared" si="39"/>
        <v/>
      </c>
      <c r="M55" s="49" t="str">
        <f t="shared" si="39"/>
        <v/>
      </c>
      <c r="N55" s="49" t="str">
        <f t="shared" si="39"/>
        <v/>
      </c>
      <c r="O55" s="49" t="str">
        <f t="shared" si="39"/>
        <v/>
      </c>
      <c r="P55" s="49" t="str">
        <f t="shared" si="39"/>
        <v/>
      </c>
      <c r="Q55" s="49" t="str">
        <f t="shared" si="39"/>
        <v/>
      </c>
      <c r="R55" s="49" t="str">
        <f t="shared" si="39"/>
        <v/>
      </c>
      <c r="S55" s="49" t="str">
        <f t="shared" si="39"/>
        <v/>
      </c>
      <c r="T55" s="49" t="str">
        <f t="shared" si="39"/>
        <v/>
      </c>
      <c r="U55" s="49" t="str">
        <f t="shared" si="39"/>
        <v/>
      </c>
      <c r="V55" s="49" t="str">
        <f t="shared" si="39"/>
        <v/>
      </c>
      <c r="W55" s="49" t="str">
        <f t="shared" si="39"/>
        <v/>
      </c>
      <c r="X55" s="49" t="str">
        <f t="shared" si="39"/>
        <v/>
      </c>
      <c r="Y55" s="49" t="str">
        <f t="shared" si="39"/>
        <v/>
      </c>
      <c r="Z55" s="49" t="str">
        <f t="shared" si="39"/>
        <v/>
      </c>
      <c r="AA55" s="49" t="str">
        <f t="shared" si="39"/>
        <v/>
      </c>
      <c r="AB55" s="49" t="str">
        <f t="shared" si="39"/>
        <v/>
      </c>
      <c r="AC55" s="49" t="str">
        <f t="shared" si="39"/>
        <v/>
      </c>
      <c r="AD55" s="49" t="str">
        <f t="shared" si="39"/>
        <v/>
      </c>
      <c r="AE55" s="49" t="str">
        <f t="shared" si="39"/>
        <v/>
      </c>
      <c r="AF55" s="49">
        <f t="shared" si="39"/>
        <v>-3.3914722911611905E-2</v>
      </c>
      <c r="AG55" s="49">
        <f t="shared" si="39"/>
        <v>-2.3246257593955155E-3</v>
      </c>
      <c r="AH55" s="49">
        <f t="shared" si="39"/>
        <v>-1.1883614171151691E-2</v>
      </c>
      <c r="AI55" s="49">
        <f t="shared" si="39"/>
        <v>-1.1557928199555256E-2</v>
      </c>
      <c r="AJ55" s="49">
        <f t="shared" si="39"/>
        <v>-4.1607311075952946E-3</v>
      </c>
      <c r="AK55" s="49">
        <f t="shared" si="39"/>
        <v>-1.1361792467867948E-2</v>
      </c>
      <c r="AL55" s="49">
        <f t="shared" si="39"/>
        <v>8.3041653525556036E-2</v>
      </c>
      <c r="AM55" s="49">
        <f t="shared" si="39"/>
        <v>4.729201101046332E-2</v>
      </c>
      <c r="AN55" s="49">
        <f t="shared" ref="AN55:BS55" si="40">IF(AN13="","",IF(ISERROR(AN13/AM13-1),"",AN13/AM13-1))</f>
        <v>1.6017120725570377E-2</v>
      </c>
      <c r="AO55" s="49">
        <f t="shared" si="40"/>
        <v>-1.0657236783501722E-2</v>
      </c>
      <c r="AP55" s="49">
        <f t="shared" si="40"/>
        <v>3.0257540635612035E-2</v>
      </c>
      <c r="AQ55" s="49">
        <f t="shared" si="40"/>
        <v>6.5002543486576414E-2</v>
      </c>
      <c r="AR55" s="49">
        <f t="shared" si="40"/>
        <v>-4.0599081922085389E-2</v>
      </c>
      <c r="AS55" s="49">
        <f t="shared" si="40"/>
        <v>-2.534184125494332E-3</v>
      </c>
      <c r="AT55" s="49">
        <f t="shared" si="40"/>
        <v>1.8455905570262221E-2</v>
      </c>
      <c r="AU55" s="49">
        <f t="shared" si="40"/>
        <v>-2.4155335232318498E-2</v>
      </c>
      <c r="AV55" s="49">
        <f t="shared" si="40"/>
        <v>-2.3425517170841181E-2</v>
      </c>
      <c r="AW55" s="49">
        <f t="shared" si="40"/>
        <v>1.1679749221967572E-2</v>
      </c>
      <c r="AX55" s="49">
        <f t="shared" si="40"/>
        <v>4.3640062126597989E-2</v>
      </c>
      <c r="AY55" s="49">
        <f t="shared" si="40"/>
        <v>-3.515668506999281E-2</v>
      </c>
      <c r="AZ55" s="49">
        <f t="shared" si="40"/>
        <v>4.5632473206727697E-2</v>
      </c>
      <c r="BA55" s="49">
        <f t="shared" si="40"/>
        <v>1.8479380262828249E-2</v>
      </c>
      <c r="BB55" s="49">
        <f t="shared" si="40"/>
        <v>2.1811482118618164E-2</v>
      </c>
      <c r="BC55" s="49">
        <f t="shared" si="40"/>
        <v>-1.5001621366637963E-2</v>
      </c>
      <c r="BD55" s="49">
        <f t="shared" si="40"/>
        <v>-2.7948263270962448E-2</v>
      </c>
      <c r="BE55" s="49">
        <f t="shared" si="40"/>
        <v>2.2422786960119012E-2</v>
      </c>
      <c r="BF55" s="49">
        <f t="shared" si="40"/>
        <v>-3.2645757707178924E-2</v>
      </c>
      <c r="BG55" s="49">
        <f t="shared" si="40"/>
        <v>1.401273948725934E-2</v>
      </c>
      <c r="BH55" s="49">
        <f t="shared" si="40"/>
        <v>5.6351900713053515E-2</v>
      </c>
      <c r="BI55" s="49">
        <f t="shared" si="40"/>
        <v>-2.7020703409112667E-2</v>
      </c>
      <c r="BJ55" s="49">
        <f t="shared" si="40"/>
        <v>6.5739032425498056E-3</v>
      </c>
      <c r="BK55" s="49">
        <f t="shared" si="40"/>
        <v>-1.6010479930352428E-2</v>
      </c>
      <c r="BL55" s="49">
        <f t="shared" si="40"/>
        <v>6.581367916461911E-3</v>
      </c>
      <c r="BM55" s="49">
        <f t="shared" si="40"/>
        <v>5.1109526747813883E-2</v>
      </c>
      <c r="BN55" s="49">
        <f t="shared" si="40"/>
        <v>3.7416452976528181E-2</v>
      </c>
      <c r="BO55" s="49">
        <f t="shared" si="40"/>
        <v>-3.9465390688449897E-2</v>
      </c>
      <c r="BP55" s="49">
        <f t="shared" si="40"/>
        <v>-2.604850496859501E-2</v>
      </c>
      <c r="BQ55" s="49">
        <f t="shared" si="40"/>
        <v>-4.2778963563842365E-2</v>
      </c>
      <c r="BR55" s="49">
        <f t="shared" si="40"/>
        <v>1.6712640232730003E-3</v>
      </c>
      <c r="BS55" s="49">
        <f t="shared" si="40"/>
        <v>1.8038267521508944E-2</v>
      </c>
      <c r="BT55" s="49">
        <f t="shared" ref="BT55:CY55" si="41">IF(BT13="","",IF(ISERROR(BT13/BS13-1),"",BT13/BS13-1))</f>
        <v>-1.3832000389446208E-2</v>
      </c>
      <c r="BU55" s="49">
        <f t="shared" si="41"/>
        <v>4.2780058852214253E-3</v>
      </c>
      <c r="BV55" s="49">
        <f t="shared" si="41"/>
        <v>-2.277834411724311E-2</v>
      </c>
      <c r="BW55" s="49">
        <f t="shared" si="41"/>
        <v>2.4043766128989175E-2</v>
      </c>
      <c r="BX55" s="49">
        <f t="shared" si="41"/>
        <v>4.4533216302378165E-5</v>
      </c>
      <c r="BY55" s="49">
        <f t="shared" si="41"/>
        <v>-3.6794683372507464E-3</v>
      </c>
      <c r="BZ55" s="49">
        <f t="shared" si="41"/>
        <v>2.8353959267312767E-2</v>
      </c>
      <c r="CA55" s="49">
        <f t="shared" si="41"/>
        <v>-6.7834134673722124E-3</v>
      </c>
      <c r="CB55" s="49">
        <f t="shared" si="41"/>
        <v>1.3963942557644327E-3</v>
      </c>
      <c r="CC55" s="49">
        <f t="shared" si="41"/>
        <v>2.2573712513769939E-2</v>
      </c>
      <c r="CD55" s="49">
        <f t="shared" si="41"/>
        <v>-3.0420143025303714E-3</v>
      </c>
      <c r="CE55" s="49">
        <f t="shared" si="41"/>
        <v>1.5843541082259271E-2</v>
      </c>
      <c r="CF55" s="49">
        <f t="shared" si="41"/>
        <v>1.8597946942732424E-2</v>
      </c>
      <c r="CG55" s="49">
        <f t="shared" si="41"/>
        <v>2.0172523907789675E-2</v>
      </c>
      <c r="CH55" s="49">
        <f t="shared" si="41"/>
        <v>3.662505734398791E-2</v>
      </c>
      <c r="CI55" s="49">
        <f t="shared" si="41"/>
        <v>9.3860624666898707E-2</v>
      </c>
      <c r="CJ55" s="49">
        <f t="shared" si="41"/>
        <v>6.5060037517119529E-3</v>
      </c>
      <c r="CK55" s="49">
        <f t="shared" si="41"/>
        <v>9.7755506316168361E-3</v>
      </c>
      <c r="CL55" s="49">
        <f t="shared" si="41"/>
        <v>2.4285778189476304E-2</v>
      </c>
      <c r="CM55" s="49">
        <f t="shared" si="41"/>
        <v>-1.3050049568109845E-2</v>
      </c>
      <c r="CN55" s="49">
        <f t="shared" si="41"/>
        <v>-1.113314988745262E-2</v>
      </c>
      <c r="CO55" s="49">
        <f t="shared" si="41"/>
        <v>-2.1635355789766386E-2</v>
      </c>
      <c r="CP55" s="49">
        <f t="shared" si="41"/>
        <v>1.001525076673504E-3</v>
      </c>
      <c r="CQ55" s="49">
        <f t="shared" si="41"/>
        <v>9.8978181459985493E-5</v>
      </c>
      <c r="CR55" s="49">
        <f t="shared" si="41"/>
        <v>-1.9311621147462987E-2</v>
      </c>
      <c r="CS55" s="49">
        <f t="shared" si="41"/>
        <v>2.3445582788728547E-2</v>
      </c>
      <c r="CT55" s="49">
        <f t="shared" si="41"/>
        <v>3.3666387794221819E-2</v>
      </c>
      <c r="CU55" s="49">
        <f t="shared" si="41"/>
        <v>8.0460319678540726E-2</v>
      </c>
      <c r="CV55" s="49">
        <f t="shared" si="41"/>
        <v>3.8210800055496152E-2</v>
      </c>
      <c r="CW55" s="49">
        <f t="shared" si="41"/>
        <v>-1.756768545538967E-3</v>
      </c>
      <c r="CX55" s="49">
        <f t="shared" si="41"/>
        <v>-0.20277986006098336</v>
      </c>
      <c r="CY55" s="49">
        <f t="shared" si="41"/>
        <v>-0.12371413678756493</v>
      </c>
      <c r="CZ55" s="49">
        <f t="shared" ref="CZ55:EE55" si="42">IF(CZ13="","",IF(ISERROR(CZ13/CY13-1),"",CZ13/CY13-1))</f>
        <v>-4.8916273898202189E-2</v>
      </c>
      <c r="DA55" s="49">
        <f t="shared" si="42"/>
        <v>9.4525966044538556E-3</v>
      </c>
      <c r="DB55" s="49">
        <f t="shared" si="42"/>
        <v>-1.9684419339883186E-2</v>
      </c>
      <c r="DC55" s="49">
        <f t="shared" si="42"/>
        <v>-1.699506378796678E-3</v>
      </c>
      <c r="DD55" s="49">
        <f t="shared" si="42"/>
        <v>-1.4286123454125166E-2</v>
      </c>
      <c r="DE55" s="49">
        <f t="shared" si="42"/>
        <v>-2.2409091176210927E-3</v>
      </c>
      <c r="DF55" s="49">
        <f t="shared" si="42"/>
        <v>-1.561018302387307E-4</v>
      </c>
      <c r="DG55" s="49">
        <f t="shared" si="42"/>
        <v>-3.393152780326425E-2</v>
      </c>
      <c r="DH55" s="49">
        <f t="shared" si="42"/>
        <v>2.9832290582843868E-2</v>
      </c>
      <c r="DI55" s="49">
        <f t="shared" si="42"/>
        <v>-2.7198021634555758E-4</v>
      </c>
      <c r="DJ55" s="49">
        <f t="shared" si="42"/>
        <v>-2.4035070233727751E-3</v>
      </c>
      <c r="DK55" s="49">
        <f t="shared" si="42"/>
        <v>-1.8507123525536406E-2</v>
      </c>
      <c r="DL55" s="49">
        <f t="shared" si="42"/>
        <v>-3.7982704228585185E-3</v>
      </c>
      <c r="DM55" s="49">
        <f t="shared" si="42"/>
        <v>-3.1342564881335688E-2</v>
      </c>
      <c r="DN55" s="49">
        <f t="shared" si="42"/>
        <v>4.9202625754810159E-2</v>
      </c>
      <c r="DO55" s="49">
        <f t="shared" si="42"/>
        <v>3.6737599110708841E-2</v>
      </c>
      <c r="DP55" s="49" t="str">
        <f t="shared" si="42"/>
        <v/>
      </c>
      <c r="DQ55" s="49" t="str">
        <f t="shared" si="42"/>
        <v/>
      </c>
      <c r="DR55" s="49" t="str">
        <f t="shared" si="42"/>
        <v/>
      </c>
      <c r="DS55" s="49" t="str">
        <f t="shared" si="42"/>
        <v/>
      </c>
      <c r="DT55" s="49" t="str">
        <f t="shared" si="42"/>
        <v/>
      </c>
      <c r="DU55" s="49" t="str">
        <f t="shared" si="42"/>
        <v/>
      </c>
      <c r="DV55" s="49" t="str">
        <f t="shared" si="42"/>
        <v/>
      </c>
      <c r="DW55" s="49" t="str">
        <f t="shared" si="42"/>
        <v/>
      </c>
      <c r="DX55" s="49" t="str">
        <f t="shared" si="42"/>
        <v/>
      </c>
      <c r="DY55" s="49" t="str">
        <f t="shared" si="42"/>
        <v/>
      </c>
      <c r="DZ55" s="49" t="str">
        <f t="shared" si="42"/>
        <v/>
      </c>
      <c r="EA55" s="49" t="str">
        <f t="shared" si="42"/>
        <v/>
      </c>
      <c r="EB55" s="49" t="str">
        <f t="shared" si="42"/>
        <v/>
      </c>
      <c r="EC55" s="49" t="str">
        <f t="shared" si="42"/>
        <v/>
      </c>
      <c r="ED55" s="49" t="str">
        <f t="shared" si="42"/>
        <v/>
      </c>
      <c r="EE55" s="49" t="str">
        <f t="shared" si="42"/>
        <v/>
      </c>
      <c r="EF55" s="49" t="str">
        <f t="shared" ref="EF55:EL55" si="43">IF(EF13="","",IF(ISERROR(EF13/EE13-1),"",EF13/EE13-1))</f>
        <v/>
      </c>
      <c r="EG55" s="49" t="str">
        <f t="shared" si="43"/>
        <v/>
      </c>
      <c r="EH55" s="49" t="str">
        <f t="shared" si="43"/>
        <v/>
      </c>
      <c r="EI55" s="49" t="str">
        <f t="shared" si="43"/>
        <v/>
      </c>
      <c r="EJ55" s="49" t="str">
        <f t="shared" si="43"/>
        <v/>
      </c>
      <c r="EK55" s="49" t="str">
        <f t="shared" si="43"/>
        <v/>
      </c>
      <c r="EL55" s="49" t="str">
        <f t="shared" si="43"/>
        <v/>
      </c>
    </row>
    <row r="56" spans="2:142" x14ac:dyDescent="0.25">
      <c r="B56" s="30">
        <f t="shared" si="18"/>
        <v>6</v>
      </c>
      <c r="C56" s="31" t="str">
        <f t="shared" si="18"/>
        <v>CARNE DE POLLO</v>
      </c>
      <c r="D56" s="32">
        <f t="shared" si="18"/>
        <v>9.6033000000000004E-3</v>
      </c>
      <c r="E56" s="32">
        <f t="shared" si="18"/>
        <v>7.7919770215666248E-2</v>
      </c>
      <c r="G56" s="50"/>
      <c r="H56" s="50" t="str">
        <f t="shared" ref="H56:AM56" si="44">IF(H14="","",IF(ISERROR(H14/G14-1),"",H14/G14-1))</f>
        <v/>
      </c>
      <c r="I56" s="50" t="str">
        <f t="shared" si="44"/>
        <v/>
      </c>
      <c r="J56" s="50" t="str">
        <f t="shared" si="44"/>
        <v/>
      </c>
      <c r="K56" s="50" t="str">
        <f t="shared" si="44"/>
        <v/>
      </c>
      <c r="L56" s="50" t="str">
        <f t="shared" si="44"/>
        <v/>
      </c>
      <c r="M56" s="50" t="str">
        <f t="shared" si="44"/>
        <v/>
      </c>
      <c r="N56" s="50" t="str">
        <f t="shared" si="44"/>
        <v/>
      </c>
      <c r="O56" s="50">
        <f t="shared" si="44"/>
        <v>3.9720989320776168E-2</v>
      </c>
      <c r="P56" s="50">
        <f t="shared" si="44"/>
        <v>-8.6867652855118993E-2</v>
      </c>
      <c r="Q56" s="50">
        <f t="shared" si="44"/>
        <v>-7.6553580397401566E-3</v>
      </c>
      <c r="R56" s="50">
        <f t="shared" si="44"/>
        <v>-1.0972356967174135E-2</v>
      </c>
      <c r="S56" s="50">
        <f t="shared" si="44"/>
        <v>-4.16461596519202E-4</v>
      </c>
      <c r="T56" s="50">
        <f t="shared" si="44"/>
        <v>5.238273247435421E-3</v>
      </c>
      <c r="U56" s="50">
        <f t="shared" si="44"/>
        <v>-1.2153972106097144E-2</v>
      </c>
      <c r="V56" s="50">
        <f t="shared" si="44"/>
        <v>1.3638779930238432E-2</v>
      </c>
      <c r="W56" s="50">
        <f t="shared" si="44"/>
        <v>5.1323903856407727E-2</v>
      </c>
      <c r="X56" s="50">
        <f t="shared" si="44"/>
        <v>-2.5380383635294601E-2</v>
      </c>
      <c r="Y56" s="50">
        <f t="shared" si="44"/>
        <v>-0.11229944017954407</v>
      </c>
      <c r="Z56" s="50">
        <f t="shared" si="44"/>
        <v>-2.6337759945132766E-2</v>
      </c>
      <c r="AA56" s="50">
        <f t="shared" si="44"/>
        <v>1.346203677049429E-2</v>
      </c>
      <c r="AB56" s="50">
        <f t="shared" si="44"/>
        <v>1.72013846869703E-2</v>
      </c>
      <c r="AC56" s="50">
        <f t="shared" si="44"/>
        <v>-3.7953846455283102E-3</v>
      </c>
      <c r="AD56" s="50">
        <f t="shared" si="44"/>
        <v>5.0236848511266974E-3</v>
      </c>
      <c r="AE56" s="50">
        <f t="shared" si="44"/>
        <v>3.5067259484492297E-2</v>
      </c>
      <c r="AF56" s="50">
        <f t="shared" si="44"/>
        <v>-1.4973747626253475E-2</v>
      </c>
      <c r="AG56" s="50">
        <f t="shared" si="44"/>
        <v>1.8003752368015657E-2</v>
      </c>
      <c r="AH56" s="50">
        <f t="shared" si="44"/>
        <v>1.4851867041455913E-2</v>
      </c>
      <c r="AI56" s="50">
        <f t="shared" si="44"/>
        <v>1.2848240160443281E-2</v>
      </c>
      <c r="AJ56" s="50">
        <f t="shared" si="44"/>
        <v>2.1100161928523153E-2</v>
      </c>
      <c r="AK56" s="50">
        <f t="shared" si="44"/>
        <v>-4.0621010638549282E-2</v>
      </c>
      <c r="AL56" s="50">
        <f t="shared" si="44"/>
        <v>-1.3201518837169468E-2</v>
      </c>
      <c r="AM56" s="50">
        <f t="shared" si="44"/>
        <v>-9.5616532248904429E-3</v>
      </c>
      <c r="AN56" s="50">
        <f t="shared" ref="AN56:BS56" si="45">IF(AN14="","",IF(ISERROR(AN14/AM14-1),"",AN14/AM14-1))</f>
        <v>4.6311590548413495E-3</v>
      </c>
      <c r="AO56" s="50">
        <f t="shared" si="45"/>
        <v>-1.0440114319595351E-3</v>
      </c>
      <c r="AP56" s="50">
        <f t="shared" si="45"/>
        <v>7.5392911795520323E-2</v>
      </c>
      <c r="AQ56" s="50">
        <f t="shared" si="45"/>
        <v>3.3959379403125212E-2</v>
      </c>
      <c r="AR56" s="50">
        <f t="shared" si="45"/>
        <v>-2.262560227134125E-2</v>
      </c>
      <c r="AS56" s="50">
        <f t="shared" si="45"/>
        <v>-7.7784895680364396E-2</v>
      </c>
      <c r="AT56" s="50">
        <f t="shared" si="45"/>
        <v>-0.1027863472376056</v>
      </c>
      <c r="AU56" s="50">
        <f t="shared" si="45"/>
        <v>-9.2081544906085222E-3</v>
      </c>
      <c r="AV56" s="50">
        <f t="shared" si="45"/>
        <v>4.2575852574395778E-3</v>
      </c>
      <c r="AW56" s="50">
        <f t="shared" si="45"/>
        <v>-1.1048959168999617E-2</v>
      </c>
      <c r="AX56" s="50">
        <f t="shared" si="45"/>
        <v>1.1712586023426397E-2</v>
      </c>
      <c r="AY56" s="50">
        <f t="shared" si="45"/>
        <v>4.1685046534730485E-2</v>
      </c>
      <c r="AZ56" s="50">
        <f t="shared" si="45"/>
        <v>-1.1145638914277667E-2</v>
      </c>
      <c r="BA56" s="50">
        <f t="shared" si="45"/>
        <v>6.8948692370334186E-3</v>
      </c>
      <c r="BB56" s="50">
        <f t="shared" si="45"/>
        <v>1.1631959984633067E-2</v>
      </c>
      <c r="BC56" s="50">
        <f t="shared" si="45"/>
        <v>-1.1190240578535016E-2</v>
      </c>
      <c r="BD56" s="50">
        <f t="shared" si="45"/>
        <v>-1.9098057193548179E-2</v>
      </c>
      <c r="BE56" s="50">
        <f t="shared" si="45"/>
        <v>-5.7736644813288773E-3</v>
      </c>
      <c r="BF56" s="50">
        <f t="shared" si="45"/>
        <v>-1.6894102468018479E-2</v>
      </c>
      <c r="BG56" s="50">
        <f t="shared" si="45"/>
        <v>-2.6103320975980671E-2</v>
      </c>
      <c r="BH56" s="50">
        <f t="shared" si="45"/>
        <v>1.3695236580837822E-2</v>
      </c>
      <c r="BI56" s="50">
        <f t="shared" si="45"/>
        <v>2.331914509543731E-3</v>
      </c>
      <c r="BJ56" s="50">
        <f t="shared" si="45"/>
        <v>3.3080110245746086E-2</v>
      </c>
      <c r="BK56" s="50">
        <f t="shared" si="45"/>
        <v>4.2941583773447922E-2</v>
      </c>
      <c r="BL56" s="50">
        <f t="shared" si="45"/>
        <v>1.3352216630472036E-2</v>
      </c>
      <c r="BM56" s="50">
        <f t="shared" si="45"/>
        <v>-3.7850211675340972E-3</v>
      </c>
      <c r="BN56" s="50">
        <f t="shared" si="45"/>
        <v>8.2566692654064688E-3</v>
      </c>
      <c r="BO56" s="50">
        <f t="shared" si="45"/>
        <v>1.3659932488478521E-2</v>
      </c>
      <c r="BP56" s="50">
        <f t="shared" si="45"/>
        <v>-1.2469009298931244E-2</v>
      </c>
      <c r="BQ56" s="50">
        <f t="shared" si="45"/>
        <v>-1.0820720980712073E-3</v>
      </c>
      <c r="BR56" s="50">
        <f t="shared" si="45"/>
        <v>1.0014674584293504E-2</v>
      </c>
      <c r="BS56" s="50">
        <f t="shared" si="45"/>
        <v>-2.9705862441875119E-2</v>
      </c>
      <c r="BT56" s="50">
        <f t="shared" ref="BT56:CY56" si="46">IF(BT14="","",IF(ISERROR(BT14/BS14-1),"",BT14/BS14-1))</f>
        <v>1.3279737771522582E-2</v>
      </c>
      <c r="BU56" s="50">
        <f t="shared" si="46"/>
        <v>-2.2263803621356715E-2</v>
      </c>
      <c r="BV56" s="50">
        <f t="shared" si="46"/>
        <v>1.109588562752073E-2</v>
      </c>
      <c r="BW56" s="50">
        <f t="shared" si="46"/>
        <v>4.7449074217740472E-2</v>
      </c>
      <c r="BX56" s="50">
        <f t="shared" si="46"/>
        <v>4.0330027111437072E-3</v>
      </c>
      <c r="BY56" s="50">
        <f t="shared" si="46"/>
        <v>-4.7110572291142461E-4</v>
      </c>
      <c r="BZ56" s="50">
        <f t="shared" si="46"/>
        <v>2.2876277387143373E-2</v>
      </c>
      <c r="CA56" s="50">
        <f t="shared" si="46"/>
        <v>3.945857732016167E-3</v>
      </c>
      <c r="CB56" s="50">
        <f t="shared" si="46"/>
        <v>4.9378220844684684E-3</v>
      </c>
      <c r="CC56" s="50">
        <f t="shared" si="46"/>
        <v>-5.9357433268386606E-3</v>
      </c>
      <c r="CD56" s="50">
        <f t="shared" si="46"/>
        <v>-1.940879786040961E-4</v>
      </c>
      <c r="CE56" s="50">
        <f t="shared" si="46"/>
        <v>1.6732738185542884E-2</v>
      </c>
      <c r="CF56" s="50">
        <f t="shared" si="46"/>
        <v>3.3238120868370746E-3</v>
      </c>
      <c r="CG56" s="50">
        <f t="shared" si="46"/>
        <v>-8.5438726116628949E-3</v>
      </c>
      <c r="CH56" s="50">
        <f t="shared" si="46"/>
        <v>1.6487135927429231E-2</v>
      </c>
      <c r="CI56" s="50">
        <f t="shared" si="46"/>
        <v>4.6391645871401321E-2</v>
      </c>
      <c r="CJ56" s="50">
        <f t="shared" si="46"/>
        <v>1.0923844953871553E-2</v>
      </c>
      <c r="CK56" s="50">
        <f t="shared" si="46"/>
        <v>-1.1066329666331698E-2</v>
      </c>
      <c r="CL56" s="50">
        <f t="shared" si="46"/>
        <v>1.9730428734948458E-2</v>
      </c>
      <c r="CM56" s="50">
        <f t="shared" si="46"/>
        <v>-3.5462309988754104E-4</v>
      </c>
      <c r="CN56" s="50">
        <f t="shared" si="46"/>
        <v>-1.7594977638074827E-2</v>
      </c>
      <c r="CO56" s="50">
        <f t="shared" si="46"/>
        <v>-6.7934643584420806E-3</v>
      </c>
      <c r="CP56" s="50">
        <f t="shared" si="46"/>
        <v>-9.0106943178264176E-3</v>
      </c>
      <c r="CQ56" s="50">
        <f t="shared" si="46"/>
        <v>-6.5317727513580781E-3</v>
      </c>
      <c r="CR56" s="50">
        <f t="shared" si="46"/>
        <v>-1.5448223038731279E-2</v>
      </c>
      <c r="CS56" s="50">
        <f t="shared" si="46"/>
        <v>4.3555529252823355E-3</v>
      </c>
      <c r="CT56" s="50">
        <f t="shared" si="46"/>
        <v>0.13134490490672635</v>
      </c>
      <c r="CU56" s="50">
        <f t="shared" si="46"/>
        <v>2.3315304900550116E-2</v>
      </c>
      <c r="CV56" s="50">
        <f t="shared" si="46"/>
        <v>-4.8511913767468329E-3</v>
      </c>
      <c r="CW56" s="50">
        <f t="shared" si="46"/>
        <v>-2.8245127733166564E-2</v>
      </c>
      <c r="CX56" s="50">
        <f t="shared" si="46"/>
        <v>-6.2495040039051153E-3</v>
      </c>
      <c r="CY56" s="50">
        <f t="shared" si="46"/>
        <v>1.2919722504645792E-2</v>
      </c>
      <c r="CZ56" s="50">
        <f t="shared" ref="CZ56:EE56" si="47">IF(CZ14="","",IF(ISERROR(CZ14/CY14-1),"",CZ14/CY14-1))</f>
        <v>-1.851300413928858E-2</v>
      </c>
      <c r="DA56" s="50">
        <f t="shared" si="47"/>
        <v>-9.0624712312836753E-4</v>
      </c>
      <c r="DB56" s="50">
        <f t="shared" si="47"/>
        <v>-3.173782226219557E-3</v>
      </c>
      <c r="DC56" s="50">
        <f t="shared" si="47"/>
        <v>-1.7927286179948876E-2</v>
      </c>
      <c r="DD56" s="50">
        <f t="shared" si="47"/>
        <v>2.734137894296218E-3</v>
      </c>
      <c r="DE56" s="50">
        <f t="shared" si="47"/>
        <v>2.8940031390378707E-4</v>
      </c>
      <c r="DF56" s="50">
        <f t="shared" si="47"/>
        <v>2.2197761989816378E-2</v>
      </c>
      <c r="DG56" s="50">
        <f t="shared" si="47"/>
        <v>2.9318254773822439E-3</v>
      </c>
      <c r="DH56" s="50">
        <f t="shared" si="47"/>
        <v>-2.2909839442042834E-2</v>
      </c>
      <c r="DI56" s="50">
        <f t="shared" si="47"/>
        <v>2.090392617891057E-2</v>
      </c>
      <c r="DJ56" s="50">
        <f t="shared" si="47"/>
        <v>-5.9422695555021443E-3</v>
      </c>
      <c r="DK56" s="50">
        <f t="shared" si="47"/>
        <v>3.5596593051898662E-3</v>
      </c>
      <c r="DL56" s="50">
        <f t="shared" si="47"/>
        <v>-7.7978198742491012E-3</v>
      </c>
      <c r="DM56" s="50">
        <f t="shared" si="47"/>
        <v>3.9854693678631481E-3</v>
      </c>
      <c r="DN56" s="50">
        <f t="shared" si="47"/>
        <v>-4.2937567555310086E-3</v>
      </c>
      <c r="DO56" s="50">
        <f t="shared" si="47"/>
        <v>-2.4204572335719821E-3</v>
      </c>
      <c r="DP56" s="50" t="str">
        <f t="shared" si="47"/>
        <v/>
      </c>
      <c r="DQ56" s="50" t="str">
        <f t="shared" si="47"/>
        <v/>
      </c>
      <c r="DR56" s="50" t="str">
        <f t="shared" si="47"/>
        <v/>
      </c>
      <c r="DS56" s="50" t="str">
        <f t="shared" si="47"/>
        <v/>
      </c>
      <c r="DT56" s="50" t="str">
        <f t="shared" si="47"/>
        <v/>
      </c>
      <c r="DU56" s="50" t="str">
        <f t="shared" si="47"/>
        <v/>
      </c>
      <c r="DV56" s="50" t="str">
        <f t="shared" si="47"/>
        <v/>
      </c>
      <c r="DW56" s="50" t="str">
        <f t="shared" si="47"/>
        <v/>
      </c>
      <c r="DX56" s="50" t="str">
        <f t="shared" si="47"/>
        <v/>
      </c>
      <c r="DY56" s="50" t="str">
        <f t="shared" si="47"/>
        <v/>
      </c>
      <c r="DZ56" s="50" t="str">
        <f t="shared" si="47"/>
        <v/>
      </c>
      <c r="EA56" s="50" t="str">
        <f t="shared" si="47"/>
        <v/>
      </c>
      <c r="EB56" s="50" t="str">
        <f t="shared" si="47"/>
        <v/>
      </c>
      <c r="EC56" s="50" t="str">
        <f t="shared" si="47"/>
        <v/>
      </c>
      <c r="ED56" s="50" t="str">
        <f t="shared" si="47"/>
        <v/>
      </c>
      <c r="EE56" s="50" t="str">
        <f t="shared" si="47"/>
        <v/>
      </c>
      <c r="EF56" s="50" t="str">
        <f t="shared" ref="EF56:EL56" si="48">IF(EF14="","",IF(ISERROR(EF14/EE14-1),"",EF14/EE14-1))</f>
        <v/>
      </c>
      <c r="EG56" s="50" t="str">
        <f t="shared" si="48"/>
        <v/>
      </c>
      <c r="EH56" s="50" t="str">
        <f t="shared" si="48"/>
        <v/>
      </c>
      <c r="EI56" s="50" t="str">
        <f t="shared" si="48"/>
        <v/>
      </c>
      <c r="EJ56" s="50" t="str">
        <f t="shared" si="48"/>
        <v/>
      </c>
      <c r="EK56" s="50" t="str">
        <f t="shared" si="48"/>
        <v/>
      </c>
      <c r="EL56" s="50" t="str">
        <f t="shared" si="48"/>
        <v/>
      </c>
    </row>
    <row r="57" spans="2:142" x14ac:dyDescent="0.25">
      <c r="B57" s="34">
        <f t="shared" si="18"/>
        <v>7</v>
      </c>
      <c r="C57" s="35" t="str">
        <f t="shared" si="18"/>
        <v>ARROZ</v>
      </c>
      <c r="D57" s="36">
        <f t="shared" si="18"/>
        <v>2.0255E-3</v>
      </c>
      <c r="E57" s="36">
        <f t="shared" si="18"/>
        <v>1.6434610453888974E-2</v>
      </c>
      <c r="G57" s="51"/>
      <c r="H57" s="51" t="str">
        <f t="shared" ref="H57:AM57" si="49">IF(H15="","",IF(ISERROR(H15/G15-1),"",H15/G15-1))</f>
        <v/>
      </c>
      <c r="I57" s="51" t="str">
        <f t="shared" si="49"/>
        <v/>
      </c>
      <c r="J57" s="51" t="str">
        <f t="shared" si="49"/>
        <v/>
      </c>
      <c r="K57" s="51" t="str">
        <f t="shared" si="49"/>
        <v/>
      </c>
      <c r="L57" s="51" t="str">
        <f t="shared" si="49"/>
        <v/>
      </c>
      <c r="M57" s="51" t="str">
        <f t="shared" si="49"/>
        <v/>
      </c>
      <c r="N57" s="51" t="str">
        <f t="shared" si="49"/>
        <v/>
      </c>
      <c r="O57" s="51" t="str">
        <f t="shared" si="49"/>
        <v/>
      </c>
      <c r="P57" s="51" t="str">
        <f t="shared" si="49"/>
        <v/>
      </c>
      <c r="Q57" s="51" t="str">
        <f t="shared" si="49"/>
        <v/>
      </c>
      <c r="R57" s="51" t="str">
        <f t="shared" si="49"/>
        <v/>
      </c>
      <c r="S57" s="51" t="str">
        <f t="shared" si="49"/>
        <v/>
      </c>
      <c r="T57" s="51" t="str">
        <f t="shared" si="49"/>
        <v/>
      </c>
      <c r="U57" s="51" t="str">
        <f t="shared" si="49"/>
        <v/>
      </c>
      <c r="V57" s="51" t="str">
        <f t="shared" si="49"/>
        <v/>
      </c>
      <c r="W57" s="51" t="str">
        <f t="shared" si="49"/>
        <v/>
      </c>
      <c r="X57" s="51" t="str">
        <f t="shared" si="49"/>
        <v/>
      </c>
      <c r="Y57" s="51" t="str">
        <f t="shared" si="49"/>
        <v/>
      </c>
      <c r="Z57" s="51" t="str">
        <f t="shared" si="49"/>
        <v/>
      </c>
      <c r="AA57" s="51" t="str">
        <f t="shared" si="49"/>
        <v/>
      </c>
      <c r="AB57" s="51" t="str">
        <f t="shared" si="49"/>
        <v/>
      </c>
      <c r="AC57" s="51" t="str">
        <f t="shared" si="49"/>
        <v/>
      </c>
      <c r="AD57" s="51" t="str">
        <f t="shared" si="49"/>
        <v/>
      </c>
      <c r="AE57" s="51" t="str">
        <f t="shared" si="49"/>
        <v/>
      </c>
      <c r="AF57" s="51" t="str">
        <f t="shared" si="49"/>
        <v/>
      </c>
      <c r="AG57" s="51" t="str">
        <f t="shared" si="49"/>
        <v/>
      </c>
      <c r="AH57" s="51" t="str">
        <f t="shared" si="49"/>
        <v/>
      </c>
      <c r="AI57" s="51" t="str">
        <f t="shared" si="49"/>
        <v/>
      </c>
      <c r="AJ57" s="51" t="str">
        <f t="shared" si="49"/>
        <v/>
      </c>
      <c r="AK57" s="51">
        <f t="shared" si="49"/>
        <v>8.3403087077746907E-3</v>
      </c>
      <c r="AL57" s="51" t="str">
        <f t="shared" si="49"/>
        <v/>
      </c>
      <c r="AM57" s="51" t="str">
        <f t="shared" si="49"/>
        <v/>
      </c>
      <c r="AN57" s="51">
        <f t="shared" ref="AN57:BS57" si="50">IF(AN15="","",IF(ISERROR(AN15/AM15-1),"",AN15/AM15-1))</f>
        <v>-4.8248481099678608E-3</v>
      </c>
      <c r="AO57" s="51" t="str">
        <f t="shared" si="50"/>
        <v/>
      </c>
      <c r="AP57" s="51" t="str">
        <f t="shared" si="50"/>
        <v/>
      </c>
      <c r="AQ57" s="51" t="str">
        <f t="shared" si="50"/>
        <v/>
      </c>
      <c r="AR57" s="51" t="str">
        <f t="shared" si="50"/>
        <v/>
      </c>
      <c r="AS57" s="51">
        <f t="shared" si="50"/>
        <v>-4.0601132018126207E-2</v>
      </c>
      <c r="AT57" s="51">
        <f t="shared" si="50"/>
        <v>-2.9511352010702874E-2</v>
      </c>
      <c r="AU57" s="51" t="str">
        <f t="shared" si="50"/>
        <v/>
      </c>
      <c r="AV57" s="51" t="str">
        <f t="shared" si="50"/>
        <v/>
      </c>
      <c r="AW57" s="51">
        <f t="shared" si="50"/>
        <v>-2.3830224451535376E-3</v>
      </c>
      <c r="AX57" s="51">
        <f t="shared" si="50"/>
        <v>-8.9556446116157984E-3</v>
      </c>
      <c r="AY57" s="51">
        <f t="shared" si="50"/>
        <v>-1.4546824551618931E-2</v>
      </c>
      <c r="AZ57" s="51" t="str">
        <f t="shared" si="50"/>
        <v/>
      </c>
      <c r="BA57" s="51" t="str">
        <f t="shared" si="50"/>
        <v/>
      </c>
      <c r="BB57" s="51">
        <f t="shared" si="50"/>
        <v>2.7232379664413831E-2</v>
      </c>
      <c r="BC57" s="51" t="str">
        <f t="shared" si="50"/>
        <v/>
      </c>
      <c r="BD57" s="51" t="str">
        <f t="shared" si="50"/>
        <v/>
      </c>
      <c r="BE57" s="51">
        <f t="shared" si="50"/>
        <v>6.9363067836207826E-3</v>
      </c>
      <c r="BF57" s="51" t="str">
        <f t="shared" si="50"/>
        <v/>
      </c>
      <c r="BG57" s="51" t="str">
        <f t="shared" si="50"/>
        <v/>
      </c>
      <c r="BH57" s="51">
        <f t="shared" si="50"/>
        <v>-1.0250472407022926E-2</v>
      </c>
      <c r="BI57" s="51" t="str">
        <f t="shared" si="50"/>
        <v/>
      </c>
      <c r="BJ57" s="51" t="str">
        <f t="shared" si="50"/>
        <v/>
      </c>
      <c r="BK57" s="51">
        <f t="shared" si="50"/>
        <v>1.7856645172716679E-2</v>
      </c>
      <c r="BL57" s="51">
        <f t="shared" si="50"/>
        <v>-2.4353573803696626E-2</v>
      </c>
      <c r="BM57" s="51">
        <f t="shared" si="50"/>
        <v>-2.0037757920337018E-3</v>
      </c>
      <c r="BN57" s="51">
        <f t="shared" si="50"/>
        <v>-4.1947481949934362E-3</v>
      </c>
      <c r="BO57" s="51">
        <f t="shared" si="50"/>
        <v>-5.7533891274051951E-3</v>
      </c>
      <c r="BP57" s="51">
        <f t="shared" si="50"/>
        <v>8.5866150024083154E-4</v>
      </c>
      <c r="BQ57" s="51">
        <f t="shared" si="50"/>
        <v>1.4669879036600886E-2</v>
      </c>
      <c r="BR57" s="51">
        <f t="shared" si="50"/>
        <v>-5.1926249432401317E-3</v>
      </c>
      <c r="BS57" s="51">
        <f t="shared" si="50"/>
        <v>-3.6532704464653509E-3</v>
      </c>
      <c r="BT57" s="51">
        <f t="shared" ref="BT57:CY57" si="51">IF(BT15="","",IF(ISERROR(BT15/BS15-1),"",BT15/BS15-1))</f>
        <v>7.0616625600556926E-3</v>
      </c>
      <c r="BU57" s="51">
        <f t="shared" si="51"/>
        <v>-1.717258598091187E-2</v>
      </c>
      <c r="BV57" s="51">
        <f t="shared" si="51"/>
        <v>-4.4469136513169971E-4</v>
      </c>
      <c r="BW57" s="51">
        <f t="shared" si="51"/>
        <v>-1.419057701905424E-3</v>
      </c>
      <c r="BX57" s="51">
        <f t="shared" si="51"/>
        <v>1.793345042712513E-2</v>
      </c>
      <c r="BY57" s="51">
        <f t="shared" si="51"/>
        <v>-1.6646355679695635E-2</v>
      </c>
      <c r="BZ57" s="51">
        <f t="shared" si="51"/>
        <v>-5.2734401622925864E-3</v>
      </c>
      <c r="CA57" s="51">
        <f t="shared" si="51"/>
        <v>-2.0582600003110629E-3</v>
      </c>
      <c r="CB57" s="51">
        <f t="shared" si="51"/>
        <v>3.2373108657113292E-3</v>
      </c>
      <c r="CC57" s="51">
        <f t="shared" si="51"/>
        <v>9.5024678367623405E-3</v>
      </c>
      <c r="CD57" s="51">
        <f t="shared" si="51"/>
        <v>1.7862908359987051E-2</v>
      </c>
      <c r="CE57" s="51">
        <f t="shared" si="51"/>
        <v>1.9283510668892889E-2</v>
      </c>
      <c r="CF57" s="51">
        <f t="shared" si="51"/>
        <v>1.8829594347867351E-2</v>
      </c>
      <c r="CG57" s="51">
        <f t="shared" si="51"/>
        <v>1.4425942902157152E-2</v>
      </c>
      <c r="CH57" s="51">
        <f t="shared" si="51"/>
        <v>-2.3999286023412836E-3</v>
      </c>
      <c r="CI57" s="51">
        <f t="shared" si="51"/>
        <v>-9.1361206007559703E-3</v>
      </c>
      <c r="CJ57" s="51">
        <f t="shared" si="51"/>
        <v>8.6397885360354199E-3</v>
      </c>
      <c r="CK57" s="51">
        <f t="shared" si="51"/>
        <v>9.3674861025738743E-3</v>
      </c>
      <c r="CL57" s="51">
        <f t="shared" si="51"/>
        <v>3.2336445257914459E-3</v>
      </c>
      <c r="CM57" s="51">
        <f t="shared" si="51"/>
        <v>1.0462254698667683E-2</v>
      </c>
      <c r="CN57" s="51">
        <f t="shared" si="51"/>
        <v>1.7387368906638834E-2</v>
      </c>
      <c r="CO57" s="51">
        <f t="shared" si="51"/>
        <v>1.2089584457780411E-2</v>
      </c>
      <c r="CP57" s="51">
        <f t="shared" si="51"/>
        <v>3.6157406119325941E-3</v>
      </c>
      <c r="CQ57" s="51">
        <f t="shared" si="51"/>
        <v>2.5719811154199634E-2</v>
      </c>
      <c r="CR57" s="51">
        <f t="shared" si="51"/>
        <v>1.9416524596623352E-2</v>
      </c>
      <c r="CS57" s="51">
        <f t="shared" si="51"/>
        <v>1.904505938915424E-2</v>
      </c>
      <c r="CT57" s="51">
        <f t="shared" si="51"/>
        <v>1.3041253099045358E-2</v>
      </c>
      <c r="CU57" s="51">
        <f t="shared" si="51"/>
        <v>3.6349778881037409E-3</v>
      </c>
      <c r="CV57" s="51">
        <f t="shared" si="51"/>
        <v>1.0385875701856673E-2</v>
      </c>
      <c r="CW57" s="51">
        <f t="shared" si="51"/>
        <v>-2.1377265914060972E-3</v>
      </c>
      <c r="CX57" s="51">
        <f t="shared" si="51"/>
        <v>-2.9931886918530548E-3</v>
      </c>
      <c r="CY57" s="51">
        <f t="shared" si="51"/>
        <v>2.450488220748781E-3</v>
      </c>
      <c r="CZ57" s="51">
        <f t="shared" ref="CZ57:EE57" si="52">IF(CZ15="","",IF(ISERROR(CZ15/CY15-1),"",CZ15/CY15-1))</f>
        <v>4.0885961423637873E-3</v>
      </c>
      <c r="DA57" s="51">
        <f t="shared" si="52"/>
        <v>-7.2474585458925933E-4</v>
      </c>
      <c r="DB57" s="51">
        <f t="shared" si="52"/>
        <v>-8.1033138391239934E-4</v>
      </c>
      <c r="DC57" s="51">
        <f t="shared" si="52"/>
        <v>-8.8680180919374907E-3</v>
      </c>
      <c r="DD57" s="51">
        <f t="shared" si="52"/>
        <v>-1.2787044113965473E-3</v>
      </c>
      <c r="DE57" s="51">
        <f t="shared" si="52"/>
        <v>2.1666717445540939E-3</v>
      </c>
      <c r="DF57" s="51">
        <f t="shared" si="52"/>
        <v>1.1624187921506435E-2</v>
      </c>
      <c r="DG57" s="51">
        <f t="shared" si="52"/>
        <v>3.9671979217759112E-3</v>
      </c>
      <c r="DH57" s="51">
        <f t="shared" si="52"/>
        <v>-3.4881196358288458E-3</v>
      </c>
      <c r="DI57" s="51">
        <f t="shared" si="52"/>
        <v>3.0847822202777486E-3</v>
      </c>
      <c r="DJ57" s="51">
        <f t="shared" si="52"/>
        <v>9.2210948091233647E-3</v>
      </c>
      <c r="DK57" s="51">
        <f t="shared" si="52"/>
        <v>6.8252883145205612E-3</v>
      </c>
      <c r="DL57" s="51">
        <f t="shared" si="52"/>
        <v>7.4272585151344828E-3</v>
      </c>
      <c r="DM57" s="51">
        <f t="shared" si="52"/>
        <v>4.0400923200509808E-3</v>
      </c>
      <c r="DN57" s="51">
        <f t="shared" si="52"/>
        <v>7.6160678344401322E-3</v>
      </c>
      <c r="DO57" s="51">
        <f t="shared" si="52"/>
        <v>2.6937901923709262E-3</v>
      </c>
      <c r="DP57" s="51" t="str">
        <f t="shared" si="52"/>
        <v/>
      </c>
      <c r="DQ57" s="51" t="str">
        <f t="shared" si="52"/>
        <v/>
      </c>
      <c r="DR57" s="51" t="str">
        <f t="shared" si="52"/>
        <v/>
      </c>
      <c r="DS57" s="51" t="str">
        <f t="shared" si="52"/>
        <v/>
      </c>
      <c r="DT57" s="51" t="str">
        <f t="shared" si="52"/>
        <v/>
      </c>
      <c r="DU57" s="51" t="str">
        <f t="shared" si="52"/>
        <v/>
      </c>
      <c r="DV57" s="51" t="str">
        <f t="shared" si="52"/>
        <v/>
      </c>
      <c r="DW57" s="51" t="str">
        <f t="shared" si="52"/>
        <v/>
      </c>
      <c r="DX57" s="51" t="str">
        <f t="shared" si="52"/>
        <v/>
      </c>
      <c r="DY57" s="51" t="str">
        <f t="shared" si="52"/>
        <v/>
      </c>
      <c r="DZ57" s="51" t="str">
        <f t="shared" si="52"/>
        <v/>
      </c>
      <c r="EA57" s="51" t="str">
        <f t="shared" si="52"/>
        <v/>
      </c>
      <c r="EB57" s="51" t="str">
        <f t="shared" si="52"/>
        <v/>
      </c>
      <c r="EC57" s="51" t="str">
        <f t="shared" si="52"/>
        <v/>
      </c>
      <c r="ED57" s="51" t="str">
        <f t="shared" si="52"/>
        <v/>
      </c>
      <c r="EE57" s="51" t="str">
        <f t="shared" si="52"/>
        <v/>
      </c>
      <c r="EF57" s="51" t="str">
        <f t="shared" ref="EF57:EL57" si="53">IF(EF15="","",IF(ISERROR(EF15/EE15-1),"",EF15/EE15-1))</f>
        <v/>
      </c>
      <c r="EG57" s="51" t="str">
        <f t="shared" si="53"/>
        <v/>
      </c>
      <c r="EH57" s="51" t="str">
        <f t="shared" si="53"/>
        <v/>
      </c>
      <c r="EI57" s="51" t="str">
        <f t="shared" si="53"/>
        <v/>
      </c>
      <c r="EJ57" s="51" t="str">
        <f t="shared" si="53"/>
        <v/>
      </c>
      <c r="EK57" s="51" t="str">
        <f t="shared" si="53"/>
        <v/>
      </c>
      <c r="EL57" s="51" t="str">
        <f t="shared" si="53"/>
        <v/>
      </c>
    </row>
    <row r="58" spans="2:142" x14ac:dyDescent="0.25">
      <c r="B58" s="34">
        <f t="shared" si="18"/>
        <v>8</v>
      </c>
      <c r="C58" s="35" t="str">
        <f t="shared" si="18"/>
        <v>PASTAS</v>
      </c>
      <c r="D58" s="36">
        <f t="shared" si="18"/>
        <v>2.8993000000000001E-3</v>
      </c>
      <c r="E58" s="36">
        <f t="shared" si="18"/>
        <v>2.3524495723999159E-2</v>
      </c>
      <c r="G58" s="51"/>
      <c r="H58" s="51" t="str">
        <f t="shared" ref="H58:AM58" si="54">IF(H16="","",IF(ISERROR(H16/G16-1),"",H16/G16-1))</f>
        <v/>
      </c>
      <c r="I58" s="51" t="str">
        <f t="shared" si="54"/>
        <v/>
      </c>
      <c r="J58" s="51" t="str">
        <f t="shared" si="54"/>
        <v/>
      </c>
      <c r="K58" s="51" t="str">
        <f t="shared" si="54"/>
        <v/>
      </c>
      <c r="L58" s="51" t="str">
        <f t="shared" si="54"/>
        <v/>
      </c>
      <c r="M58" s="51" t="str">
        <f t="shared" si="54"/>
        <v/>
      </c>
      <c r="N58" s="51" t="str">
        <f t="shared" si="54"/>
        <v/>
      </c>
      <c r="O58" s="51" t="str">
        <f t="shared" si="54"/>
        <v/>
      </c>
      <c r="P58" s="51" t="str">
        <f t="shared" si="54"/>
        <v/>
      </c>
      <c r="Q58" s="51" t="str">
        <f t="shared" si="54"/>
        <v/>
      </c>
      <c r="R58" s="51" t="str">
        <f t="shared" si="54"/>
        <v/>
      </c>
      <c r="S58" s="51" t="str">
        <f t="shared" si="54"/>
        <v/>
      </c>
      <c r="T58" s="51" t="str">
        <f t="shared" si="54"/>
        <v/>
      </c>
      <c r="U58" s="51" t="str">
        <f t="shared" si="54"/>
        <v/>
      </c>
      <c r="V58" s="51" t="str">
        <f t="shared" si="54"/>
        <v/>
      </c>
      <c r="W58" s="51" t="str">
        <f t="shared" si="54"/>
        <v/>
      </c>
      <c r="X58" s="51" t="str">
        <f t="shared" si="54"/>
        <v/>
      </c>
      <c r="Y58" s="51" t="str">
        <f t="shared" si="54"/>
        <v/>
      </c>
      <c r="Z58" s="51" t="str">
        <f t="shared" si="54"/>
        <v/>
      </c>
      <c r="AA58" s="51" t="str">
        <f t="shared" si="54"/>
        <v/>
      </c>
      <c r="AB58" s="51" t="str">
        <f t="shared" si="54"/>
        <v/>
      </c>
      <c r="AC58" s="51" t="str">
        <f t="shared" si="54"/>
        <v/>
      </c>
      <c r="AD58" s="51" t="str">
        <f t="shared" si="54"/>
        <v/>
      </c>
      <c r="AE58" s="51" t="str">
        <f t="shared" si="54"/>
        <v/>
      </c>
      <c r="AF58" s="51" t="str">
        <f t="shared" si="54"/>
        <v/>
      </c>
      <c r="AG58" s="51" t="str">
        <f t="shared" si="54"/>
        <v/>
      </c>
      <c r="AH58" s="51" t="str">
        <f t="shared" si="54"/>
        <v/>
      </c>
      <c r="AI58" s="51" t="str">
        <f t="shared" si="54"/>
        <v/>
      </c>
      <c r="AJ58" s="51" t="str">
        <f t="shared" si="54"/>
        <v/>
      </c>
      <c r="AK58" s="51" t="str">
        <f t="shared" si="54"/>
        <v/>
      </c>
      <c r="AL58" s="51" t="str">
        <f t="shared" si="54"/>
        <v/>
      </c>
      <c r="AM58" s="51" t="str">
        <f t="shared" si="54"/>
        <v/>
      </c>
      <c r="AN58" s="51" t="str">
        <f t="shared" ref="AN58:BS58" si="55">IF(AN16="","",IF(ISERROR(AN16/AM16-1),"",AN16/AM16-1))</f>
        <v/>
      </c>
      <c r="AO58" s="51" t="str">
        <f t="shared" si="55"/>
        <v/>
      </c>
      <c r="AP58" s="51" t="str">
        <f t="shared" si="55"/>
        <v/>
      </c>
      <c r="AQ58" s="51" t="str">
        <f t="shared" si="55"/>
        <v/>
      </c>
      <c r="AR58" s="51" t="str">
        <f t="shared" si="55"/>
        <v/>
      </c>
      <c r="AS58" s="51" t="str">
        <f t="shared" si="55"/>
        <v/>
      </c>
      <c r="AT58" s="51" t="str">
        <f t="shared" si="55"/>
        <v/>
      </c>
      <c r="AU58" s="51" t="str">
        <f t="shared" si="55"/>
        <v/>
      </c>
      <c r="AV58" s="51" t="str">
        <f t="shared" si="55"/>
        <v/>
      </c>
      <c r="AW58" s="51" t="str">
        <f t="shared" si="55"/>
        <v/>
      </c>
      <c r="AX58" s="51" t="str">
        <f t="shared" si="55"/>
        <v/>
      </c>
      <c r="AY58" s="51" t="str">
        <f t="shared" si="55"/>
        <v/>
      </c>
      <c r="AZ58" s="51" t="str">
        <f t="shared" si="55"/>
        <v/>
      </c>
      <c r="BA58" s="51" t="str">
        <f t="shared" si="55"/>
        <v/>
      </c>
      <c r="BB58" s="51" t="str">
        <f t="shared" si="55"/>
        <v/>
      </c>
      <c r="BC58" s="51" t="str">
        <f t="shared" si="55"/>
        <v/>
      </c>
      <c r="BD58" s="51" t="str">
        <f t="shared" si="55"/>
        <v/>
      </c>
      <c r="BE58" s="51" t="str">
        <f t="shared" si="55"/>
        <v/>
      </c>
      <c r="BF58" s="51" t="str">
        <f t="shared" si="55"/>
        <v/>
      </c>
      <c r="BG58" s="51" t="str">
        <f t="shared" si="55"/>
        <v/>
      </c>
      <c r="BH58" s="51" t="str">
        <f t="shared" si="55"/>
        <v/>
      </c>
      <c r="BI58" s="51" t="str">
        <f t="shared" si="55"/>
        <v/>
      </c>
      <c r="BJ58" s="51" t="str">
        <f t="shared" si="55"/>
        <v/>
      </c>
      <c r="BK58" s="51" t="str">
        <f t="shared" si="55"/>
        <v/>
      </c>
      <c r="BL58" s="51" t="str">
        <f t="shared" si="55"/>
        <v/>
      </c>
      <c r="BM58" s="51" t="str">
        <f t="shared" si="55"/>
        <v/>
      </c>
      <c r="BN58" s="51" t="str">
        <f t="shared" si="55"/>
        <v/>
      </c>
      <c r="BO58" s="51" t="str">
        <f t="shared" si="55"/>
        <v/>
      </c>
      <c r="BP58" s="51">
        <f t="shared" si="55"/>
        <v>5.9003638131582825E-3</v>
      </c>
      <c r="BQ58" s="51">
        <f t="shared" si="55"/>
        <v>2.505598963931277E-2</v>
      </c>
      <c r="BR58" s="51">
        <f t="shared" si="55"/>
        <v>-1.3809393104363465E-2</v>
      </c>
      <c r="BS58" s="51">
        <f t="shared" si="55"/>
        <v>7.9295684378917208E-3</v>
      </c>
      <c r="BT58" s="51">
        <f t="shared" ref="BT58:CY58" si="56">IF(BT16="","",IF(ISERROR(BT16/BS16-1),"",BT16/BS16-1))</f>
        <v>1.6490778377421966E-2</v>
      </c>
      <c r="BU58" s="51">
        <f t="shared" si="56"/>
        <v>-3.309667400705385E-2</v>
      </c>
      <c r="BV58" s="51">
        <f t="shared" si="56"/>
        <v>-3.1558846722575362E-2</v>
      </c>
      <c r="BW58" s="51">
        <f t="shared" si="56"/>
        <v>-1.3029159322935913E-3</v>
      </c>
      <c r="BX58" s="51">
        <f t="shared" si="56"/>
        <v>2.1839208986251357E-2</v>
      </c>
      <c r="BY58" s="51">
        <f t="shared" si="56"/>
        <v>-9.2319626239572017E-3</v>
      </c>
      <c r="BZ58" s="51">
        <f t="shared" si="56"/>
        <v>4.5012320956634433E-3</v>
      </c>
      <c r="CA58" s="51">
        <f t="shared" si="56"/>
        <v>-1.3621044859513098E-4</v>
      </c>
      <c r="CB58" s="51">
        <f t="shared" si="56"/>
        <v>-3.3614233456136233E-3</v>
      </c>
      <c r="CC58" s="51">
        <f t="shared" si="56"/>
        <v>-1.5430591466156773E-3</v>
      </c>
      <c r="CD58" s="51">
        <f t="shared" si="56"/>
        <v>1.6344457489294362E-2</v>
      </c>
      <c r="CE58" s="51">
        <f t="shared" si="56"/>
        <v>1.5810975760820689E-2</v>
      </c>
      <c r="CF58" s="51">
        <f t="shared" si="56"/>
        <v>-7.2654738113842043E-3</v>
      </c>
      <c r="CG58" s="51">
        <f t="shared" si="56"/>
        <v>3.5258349023913338E-2</v>
      </c>
      <c r="CH58" s="51">
        <f t="shared" si="56"/>
        <v>3.3314725230638276E-2</v>
      </c>
      <c r="CI58" s="51">
        <f t="shared" si="56"/>
        <v>2.7398197651800071E-3</v>
      </c>
      <c r="CJ58" s="51">
        <f t="shared" si="56"/>
        <v>-1.4710931020459062E-2</v>
      </c>
      <c r="CK58" s="51">
        <f t="shared" si="56"/>
        <v>8.8556345448356222E-3</v>
      </c>
      <c r="CL58" s="51">
        <f t="shared" si="56"/>
        <v>5.5299708441158835E-3</v>
      </c>
      <c r="CM58" s="51">
        <f t="shared" si="56"/>
        <v>-1.2057172601319888E-2</v>
      </c>
      <c r="CN58" s="51">
        <f t="shared" si="56"/>
        <v>1.0250083300367807E-2</v>
      </c>
      <c r="CO58" s="51">
        <f t="shared" si="56"/>
        <v>2.9840055545525379E-2</v>
      </c>
      <c r="CP58" s="51">
        <f t="shared" si="56"/>
        <v>7.1106736371542301E-3</v>
      </c>
      <c r="CQ58" s="51">
        <f t="shared" si="56"/>
        <v>7.9987677486916819E-3</v>
      </c>
      <c r="CR58" s="51">
        <f t="shared" si="56"/>
        <v>2.2853421459762213E-2</v>
      </c>
      <c r="CS58" s="51">
        <f t="shared" si="56"/>
        <v>-6.5182023394197985E-3</v>
      </c>
      <c r="CT58" s="51">
        <f t="shared" si="56"/>
        <v>1.0589554019239333E-2</v>
      </c>
      <c r="CU58" s="51">
        <f t="shared" si="56"/>
        <v>1.3063566065130816E-2</v>
      </c>
      <c r="CV58" s="51">
        <f t="shared" si="56"/>
        <v>6.3598053713442848E-3</v>
      </c>
      <c r="CW58" s="51">
        <f t="shared" si="56"/>
        <v>-4.5222024123183768E-3</v>
      </c>
      <c r="CX58" s="51">
        <f t="shared" si="56"/>
        <v>-1.4566563449814995E-2</v>
      </c>
      <c r="CY58" s="51">
        <f t="shared" si="56"/>
        <v>-4.4136575581733561E-3</v>
      </c>
      <c r="CZ58" s="51">
        <f t="shared" ref="CZ58:EE58" si="57">IF(CZ16="","",IF(ISERROR(CZ16/CY16-1),"",CZ16/CY16-1))</f>
        <v>1.1811061831985548E-2</v>
      </c>
      <c r="DA58" s="51">
        <f t="shared" si="57"/>
        <v>-2.5578780628326969E-3</v>
      </c>
      <c r="DB58" s="51">
        <f t="shared" si="57"/>
        <v>5.50927920382005E-3</v>
      </c>
      <c r="DC58" s="51">
        <f t="shared" si="57"/>
        <v>-2.5722614747533679E-2</v>
      </c>
      <c r="DD58" s="51">
        <f t="shared" si="57"/>
        <v>3.6535573640674723E-3</v>
      </c>
      <c r="DE58" s="51">
        <f t="shared" si="57"/>
        <v>-4.0544683435942419E-3</v>
      </c>
      <c r="DF58" s="51">
        <f t="shared" si="57"/>
        <v>6.712160983862514E-3</v>
      </c>
      <c r="DG58" s="51">
        <f t="shared" si="57"/>
        <v>-2.5743140309054668E-3</v>
      </c>
      <c r="DH58" s="51">
        <f t="shared" si="57"/>
        <v>1.0103718385741089E-3</v>
      </c>
      <c r="DI58" s="51">
        <f t="shared" si="57"/>
        <v>-6.1712223775796105E-3</v>
      </c>
      <c r="DJ58" s="51">
        <f t="shared" si="57"/>
        <v>-3.6352059254868285E-3</v>
      </c>
      <c r="DK58" s="51">
        <f t="shared" si="57"/>
        <v>-1.3964656746145554E-2</v>
      </c>
      <c r="DL58" s="51">
        <f t="shared" si="57"/>
        <v>3.0017695455940796E-2</v>
      </c>
      <c r="DM58" s="51">
        <f t="shared" si="57"/>
        <v>-4.2380303301337019E-4</v>
      </c>
      <c r="DN58" s="51">
        <f t="shared" si="57"/>
        <v>-2.1250031491849564E-3</v>
      </c>
      <c r="DO58" s="51">
        <f t="shared" si="57"/>
        <v>7.5675686415948018E-3</v>
      </c>
      <c r="DP58" s="51" t="str">
        <f t="shared" si="57"/>
        <v/>
      </c>
      <c r="DQ58" s="51" t="str">
        <f t="shared" si="57"/>
        <v/>
      </c>
      <c r="DR58" s="51" t="str">
        <f t="shared" si="57"/>
        <v/>
      </c>
      <c r="DS58" s="51" t="str">
        <f t="shared" si="57"/>
        <v/>
      </c>
      <c r="DT58" s="51" t="str">
        <f t="shared" si="57"/>
        <v/>
      </c>
      <c r="DU58" s="51" t="str">
        <f t="shared" si="57"/>
        <v/>
      </c>
      <c r="DV58" s="51" t="str">
        <f t="shared" si="57"/>
        <v/>
      </c>
      <c r="DW58" s="51" t="str">
        <f t="shared" si="57"/>
        <v/>
      </c>
      <c r="DX58" s="51" t="str">
        <f t="shared" si="57"/>
        <v/>
      </c>
      <c r="DY58" s="51" t="str">
        <f t="shared" si="57"/>
        <v/>
      </c>
      <c r="DZ58" s="51" t="str">
        <f t="shared" si="57"/>
        <v/>
      </c>
      <c r="EA58" s="51" t="str">
        <f t="shared" si="57"/>
        <v/>
      </c>
      <c r="EB58" s="51" t="str">
        <f t="shared" si="57"/>
        <v/>
      </c>
      <c r="EC58" s="51" t="str">
        <f t="shared" si="57"/>
        <v/>
      </c>
      <c r="ED58" s="51" t="str">
        <f t="shared" si="57"/>
        <v/>
      </c>
      <c r="EE58" s="51" t="str">
        <f t="shared" si="57"/>
        <v/>
      </c>
      <c r="EF58" s="51" t="str">
        <f t="shared" ref="EF58:EL58" si="58">IF(EF16="","",IF(ISERROR(EF16/EE16-1),"",EF16/EE16-1))</f>
        <v/>
      </c>
      <c r="EG58" s="51" t="str">
        <f t="shared" si="58"/>
        <v/>
      </c>
      <c r="EH58" s="51" t="str">
        <f t="shared" si="58"/>
        <v/>
      </c>
      <c r="EI58" s="51" t="str">
        <f t="shared" si="58"/>
        <v/>
      </c>
      <c r="EJ58" s="51" t="str">
        <f t="shared" si="58"/>
        <v/>
      </c>
      <c r="EK58" s="51" t="str">
        <f t="shared" si="58"/>
        <v/>
      </c>
      <c r="EL58" s="51" t="str">
        <f t="shared" si="58"/>
        <v/>
      </c>
    </row>
    <row r="59" spans="2:142" x14ac:dyDescent="0.25">
      <c r="B59" s="34">
        <f t="shared" si="18"/>
        <v>9</v>
      </c>
      <c r="C59" s="35" t="str">
        <f t="shared" si="18"/>
        <v>LIMÓN</v>
      </c>
      <c r="D59" s="36">
        <f t="shared" si="18"/>
        <v>1.0457000000000001E-3</v>
      </c>
      <c r="E59" s="36">
        <f t="shared" si="18"/>
        <v>8.4846567028544553E-3</v>
      </c>
      <c r="G59" s="51"/>
      <c r="H59" s="51" t="str">
        <f t="shared" ref="H59:AM59" si="59">IF(H17="","",IF(ISERROR(H17/G17-1),"",H17/G17-1))</f>
        <v/>
      </c>
      <c r="I59" s="51" t="str">
        <f t="shared" si="59"/>
        <v/>
      </c>
      <c r="J59" s="51">
        <f t="shared" si="59"/>
        <v>-0.35020201320371902</v>
      </c>
      <c r="K59" s="51">
        <f t="shared" si="59"/>
        <v>-0.22780209227239789</v>
      </c>
      <c r="L59" s="51">
        <f t="shared" si="59"/>
        <v>-0.37585226135381855</v>
      </c>
      <c r="M59" s="51">
        <f t="shared" si="59"/>
        <v>-0.49038952845217654</v>
      </c>
      <c r="N59" s="51">
        <f t="shared" si="59"/>
        <v>0.15840349065119019</v>
      </c>
      <c r="O59" s="51">
        <f t="shared" si="59"/>
        <v>0.14743284905202181</v>
      </c>
      <c r="P59" s="51">
        <f t="shared" si="59"/>
        <v>5.8260004145634481E-2</v>
      </c>
      <c r="Q59" s="51">
        <f t="shared" si="59"/>
        <v>8.7234941390309961E-2</v>
      </c>
      <c r="R59" s="51">
        <f t="shared" si="59"/>
        <v>7.5851423423227704E-3</v>
      </c>
      <c r="S59" s="51">
        <f t="shared" si="59"/>
        <v>0.22285650192420015</v>
      </c>
      <c r="T59" s="51">
        <f t="shared" si="59"/>
        <v>-8.8930503792493565E-2</v>
      </c>
      <c r="U59" s="51">
        <f t="shared" si="59"/>
        <v>-4.5372735163408118E-2</v>
      </c>
      <c r="V59" s="51">
        <f t="shared" si="59"/>
        <v>-0.11983420302732561</v>
      </c>
      <c r="W59" s="51">
        <f t="shared" si="59"/>
        <v>-3.1700725626240822E-2</v>
      </c>
      <c r="X59" s="51">
        <f t="shared" si="59"/>
        <v>-0.29811933446840022</v>
      </c>
      <c r="Y59" s="51">
        <f t="shared" si="59"/>
        <v>-0.25390532636511287</v>
      </c>
      <c r="Z59" s="51">
        <f t="shared" si="59"/>
        <v>-9.8002790337553547E-2</v>
      </c>
      <c r="AA59" s="51">
        <f t="shared" si="59"/>
        <v>0.19687909886026911</v>
      </c>
      <c r="AB59" s="51">
        <f t="shared" si="59"/>
        <v>0.23450095875396304</v>
      </c>
      <c r="AC59" s="51">
        <f t="shared" si="59"/>
        <v>0.26793853260466838</v>
      </c>
      <c r="AD59" s="51">
        <f t="shared" si="59"/>
        <v>0.30262953037413087</v>
      </c>
      <c r="AE59" s="51">
        <f t="shared" si="59"/>
        <v>0.57662991251695184</v>
      </c>
      <c r="AF59" s="51">
        <f t="shared" si="59"/>
        <v>0.19649128215304779</v>
      </c>
      <c r="AG59" s="51">
        <f t="shared" si="59"/>
        <v>0.61307254229571928</v>
      </c>
      <c r="AH59" s="51">
        <f t="shared" si="59"/>
        <v>1.9344829158887134E-2</v>
      </c>
      <c r="AI59" s="51">
        <f t="shared" si="59"/>
        <v>-0.24288648431825732</v>
      </c>
      <c r="AJ59" s="51">
        <f t="shared" si="59"/>
        <v>-0.4002026348671418</v>
      </c>
      <c r="AK59" s="51">
        <f t="shared" si="59"/>
        <v>-0.22394881360475238</v>
      </c>
      <c r="AL59" s="51">
        <f t="shared" si="59"/>
        <v>-2.8945338332678761E-3</v>
      </c>
      <c r="AM59" s="51">
        <f t="shared" si="59"/>
        <v>0.11434514931100703</v>
      </c>
      <c r="AN59" s="51">
        <f t="shared" ref="AN59:BS59" si="60">IF(AN17="","",IF(ISERROR(AN17/AM17-1),"",AN17/AM17-1))</f>
        <v>0.27464633193741506</v>
      </c>
      <c r="AO59" s="51">
        <f t="shared" si="60"/>
        <v>0.53730270437428351</v>
      </c>
      <c r="AP59" s="51">
        <f t="shared" si="60"/>
        <v>0.14749246195015453</v>
      </c>
      <c r="AQ59" s="51">
        <f t="shared" si="60"/>
        <v>1.8491247968312141E-2</v>
      </c>
      <c r="AR59" s="51">
        <f t="shared" si="60"/>
        <v>0.15587860082271132</v>
      </c>
      <c r="AS59" s="51">
        <f t="shared" si="60"/>
        <v>0.37268920975508046</v>
      </c>
      <c r="AT59" s="51">
        <f t="shared" si="60"/>
        <v>-0.258556414402069</v>
      </c>
      <c r="AU59" s="51">
        <f t="shared" si="60"/>
        <v>-0.28636912486122423</v>
      </c>
      <c r="AV59" s="51">
        <f t="shared" si="60"/>
        <v>-0.40165712487791472</v>
      </c>
      <c r="AW59" s="51">
        <f t="shared" si="60"/>
        <v>-0.29868196821526705</v>
      </c>
      <c r="AX59" s="51">
        <f t="shared" si="60"/>
        <v>5.4298453408539782E-2</v>
      </c>
      <c r="AY59" s="51">
        <f t="shared" si="60"/>
        <v>0.21033877542571933</v>
      </c>
      <c r="AZ59" s="51">
        <f t="shared" si="60"/>
        <v>4.0958923353815457E-2</v>
      </c>
      <c r="BA59" s="51">
        <f t="shared" si="60"/>
        <v>8.4246025048213102E-2</v>
      </c>
      <c r="BB59" s="51">
        <f t="shared" si="60"/>
        <v>0.10339570926336017</v>
      </c>
      <c r="BC59" s="51">
        <f t="shared" si="60"/>
        <v>0.19760621680979185</v>
      </c>
      <c r="BD59" s="51">
        <f t="shared" si="60"/>
        <v>0.23021145673668442</v>
      </c>
      <c r="BE59" s="51">
        <f t="shared" si="60"/>
        <v>0.16910983023779425</v>
      </c>
      <c r="BF59" s="51">
        <f t="shared" si="60"/>
        <v>9.3027659507828986E-2</v>
      </c>
      <c r="BG59" s="51">
        <f t="shared" si="60"/>
        <v>-0.30287972164040888</v>
      </c>
      <c r="BH59" s="51">
        <f t="shared" si="60"/>
        <v>-0.37783132590401469</v>
      </c>
      <c r="BI59" s="51">
        <f t="shared" si="60"/>
        <v>-0.15519776461086043</v>
      </c>
      <c r="BJ59" s="51">
        <f t="shared" si="60"/>
        <v>-0.16424974656590174</v>
      </c>
      <c r="BK59" s="51">
        <f t="shared" si="60"/>
        <v>0.11506049775883254</v>
      </c>
      <c r="BL59" s="51">
        <f t="shared" si="60"/>
        <v>-3.2325752204403702E-2</v>
      </c>
      <c r="BM59" s="51">
        <f t="shared" si="60"/>
        <v>5.8634239470000571E-2</v>
      </c>
      <c r="BN59" s="51">
        <f t="shared" si="60"/>
        <v>0.16251809925752325</v>
      </c>
      <c r="BO59" s="51">
        <f t="shared" si="60"/>
        <v>0.70640619708183583</v>
      </c>
      <c r="BP59" s="51">
        <f t="shared" si="60"/>
        <v>0.23105872209101053</v>
      </c>
      <c r="BQ59" s="51">
        <f t="shared" si="60"/>
        <v>0.36463938371940774</v>
      </c>
      <c r="BR59" s="51">
        <f t="shared" si="60"/>
        <v>-0.12543330460914837</v>
      </c>
      <c r="BS59" s="51">
        <f t="shared" si="60"/>
        <v>-0.21906676382101309</v>
      </c>
      <c r="BT59" s="51">
        <f t="shared" ref="BT59:CY59" si="61">IF(BT17="","",IF(ISERROR(BT17/BS17-1),"",BT17/BS17-1))</f>
        <v>-0.35908628611313953</v>
      </c>
      <c r="BU59" s="51">
        <f t="shared" si="61"/>
        <v>-0.22824561956075973</v>
      </c>
      <c r="BV59" s="51">
        <f t="shared" si="61"/>
        <v>-5.4668145712995164E-2</v>
      </c>
      <c r="BW59" s="51">
        <f t="shared" si="61"/>
        <v>0.22497842428112436</v>
      </c>
      <c r="BX59" s="51">
        <f t="shared" si="61"/>
        <v>8.4788730849922667E-2</v>
      </c>
      <c r="BY59" s="51">
        <f t="shared" si="61"/>
        <v>0.11780373360386465</v>
      </c>
      <c r="BZ59" s="51">
        <f t="shared" si="61"/>
        <v>0.22816593812243702</v>
      </c>
      <c r="CA59" s="51">
        <f t="shared" si="61"/>
        <v>0.86310369140386856</v>
      </c>
      <c r="CB59" s="51">
        <f t="shared" si="61"/>
        <v>0.10295223880466464</v>
      </c>
      <c r="CC59" s="51">
        <f t="shared" si="61"/>
        <v>0.21594267335428174</v>
      </c>
      <c r="CD59" s="51">
        <f t="shared" si="61"/>
        <v>1.8973206377008722E-2</v>
      </c>
      <c r="CE59" s="51">
        <f t="shared" si="61"/>
        <v>-0.23148703595420594</v>
      </c>
      <c r="CF59" s="51">
        <f t="shared" si="61"/>
        <v>-0.31114907798385916</v>
      </c>
      <c r="CG59" s="51">
        <f t="shared" si="61"/>
        <v>-0.20026164491306586</v>
      </c>
      <c r="CH59" s="51">
        <f t="shared" si="61"/>
        <v>9.1943159879002145E-3</v>
      </c>
      <c r="CI59" s="51">
        <f t="shared" si="61"/>
        <v>2.6687816107340945E-2</v>
      </c>
      <c r="CJ59" s="51">
        <f t="shared" si="61"/>
        <v>5.1073207682964084E-2</v>
      </c>
      <c r="CK59" s="51">
        <f t="shared" si="61"/>
        <v>0.40283624302875065</v>
      </c>
      <c r="CL59" s="51">
        <f t="shared" si="61"/>
        <v>0.17465741789461608</v>
      </c>
      <c r="CM59" s="51">
        <f t="shared" si="61"/>
        <v>0.2276851918080971</v>
      </c>
      <c r="CN59" s="51">
        <f t="shared" si="61"/>
        <v>-1.83751768425926E-2</v>
      </c>
      <c r="CO59" s="51">
        <f t="shared" si="61"/>
        <v>7.4351267255447162E-2</v>
      </c>
      <c r="CP59" s="51">
        <f t="shared" si="61"/>
        <v>-6.6375149616807683E-2</v>
      </c>
      <c r="CQ59" s="51">
        <f t="shared" si="61"/>
        <v>-0.26187366255516276</v>
      </c>
      <c r="CR59" s="51">
        <f t="shared" si="61"/>
        <v>-0.32700203975913311</v>
      </c>
      <c r="CS59" s="51">
        <f t="shared" si="61"/>
        <v>-0.28830264014289808</v>
      </c>
      <c r="CT59" s="51">
        <f t="shared" si="61"/>
        <v>-5.7341993378256628E-2</v>
      </c>
      <c r="CU59" s="51">
        <f t="shared" si="61"/>
        <v>-1.76780014872574E-2</v>
      </c>
      <c r="CV59" s="51">
        <f t="shared" si="61"/>
        <v>3.4940284280188694E-2</v>
      </c>
      <c r="CW59" s="51">
        <f t="shared" si="61"/>
        <v>-6.1035538021128044E-3</v>
      </c>
      <c r="CX59" s="51">
        <f t="shared" si="61"/>
        <v>0.13938092169549376</v>
      </c>
      <c r="CY59" s="51">
        <f t="shared" si="61"/>
        <v>0.42667193209213394</v>
      </c>
      <c r="CZ59" s="51">
        <f t="shared" ref="CZ59:EE59" si="62">IF(CZ17="","",IF(ISERROR(CZ17/CY17-1),"",CZ17/CY17-1))</f>
        <v>0.17022213231132177</v>
      </c>
      <c r="DA59" s="51">
        <f t="shared" si="62"/>
        <v>0.36322377417000129</v>
      </c>
      <c r="DB59" s="51">
        <f t="shared" si="62"/>
        <v>-4.5245472243239937E-2</v>
      </c>
      <c r="DC59" s="51">
        <f t="shared" si="62"/>
        <v>-9.4081648323568134E-2</v>
      </c>
      <c r="DD59" s="51">
        <f t="shared" si="62"/>
        <v>-0.24715865135006532</v>
      </c>
      <c r="DE59" s="51">
        <f t="shared" si="62"/>
        <v>-0.19150808173871203</v>
      </c>
      <c r="DF59" s="51">
        <f t="shared" si="62"/>
        <v>-6.905640197379137E-2</v>
      </c>
      <c r="DG59" s="51">
        <f t="shared" si="62"/>
        <v>-1.0532901028213804E-2</v>
      </c>
      <c r="DH59" s="51">
        <f t="shared" si="62"/>
        <v>0.11247657848742998</v>
      </c>
      <c r="DI59" s="51">
        <f t="shared" si="62"/>
        <v>0.47920434721451999</v>
      </c>
      <c r="DJ59" s="51">
        <f t="shared" si="62"/>
        <v>0.18543491065205786</v>
      </c>
      <c r="DK59" s="51">
        <f t="shared" si="62"/>
        <v>0.31556803515220899</v>
      </c>
      <c r="DL59" s="51">
        <f t="shared" si="62"/>
        <v>0.23431996266447563</v>
      </c>
      <c r="DM59" s="51">
        <f t="shared" si="62"/>
        <v>0.1297013779813958</v>
      </c>
      <c r="DN59" s="51">
        <f t="shared" si="62"/>
        <v>-0.24280533258388204</v>
      </c>
      <c r="DO59" s="51">
        <f t="shared" si="62"/>
        <v>-9.2343590806535869E-2</v>
      </c>
      <c r="DP59" s="51" t="str">
        <f t="shared" si="62"/>
        <v/>
      </c>
      <c r="DQ59" s="51" t="str">
        <f t="shared" si="62"/>
        <v/>
      </c>
      <c r="DR59" s="51" t="str">
        <f t="shared" si="62"/>
        <v/>
      </c>
      <c r="DS59" s="51" t="str">
        <f t="shared" si="62"/>
        <v/>
      </c>
      <c r="DT59" s="51" t="str">
        <f t="shared" si="62"/>
        <v/>
      </c>
      <c r="DU59" s="51" t="str">
        <f t="shared" si="62"/>
        <v/>
      </c>
      <c r="DV59" s="51" t="str">
        <f t="shared" si="62"/>
        <v/>
      </c>
      <c r="DW59" s="51" t="str">
        <f t="shared" si="62"/>
        <v/>
      </c>
      <c r="DX59" s="51" t="str">
        <f t="shared" si="62"/>
        <v/>
      </c>
      <c r="DY59" s="51" t="str">
        <f t="shared" si="62"/>
        <v/>
      </c>
      <c r="DZ59" s="51" t="str">
        <f t="shared" si="62"/>
        <v/>
      </c>
      <c r="EA59" s="51" t="str">
        <f t="shared" si="62"/>
        <v/>
      </c>
      <c r="EB59" s="51" t="str">
        <f t="shared" si="62"/>
        <v/>
      </c>
      <c r="EC59" s="51" t="str">
        <f t="shared" si="62"/>
        <v/>
      </c>
      <c r="ED59" s="51" t="str">
        <f t="shared" si="62"/>
        <v/>
      </c>
      <c r="EE59" s="51" t="str">
        <f t="shared" si="62"/>
        <v/>
      </c>
      <c r="EF59" s="51" t="str">
        <f t="shared" ref="EF59:EL59" si="63">IF(EF17="","",IF(ISERROR(EF17/EE17-1),"",EF17/EE17-1))</f>
        <v/>
      </c>
      <c r="EG59" s="51" t="str">
        <f t="shared" si="63"/>
        <v/>
      </c>
      <c r="EH59" s="51" t="str">
        <f t="shared" si="63"/>
        <v/>
      </c>
      <c r="EI59" s="51" t="str">
        <f t="shared" si="63"/>
        <v/>
      </c>
      <c r="EJ59" s="51" t="str">
        <f t="shared" si="63"/>
        <v/>
      </c>
      <c r="EK59" s="51" t="str">
        <f t="shared" si="63"/>
        <v/>
      </c>
      <c r="EL59" s="51" t="str">
        <f t="shared" si="63"/>
        <v/>
      </c>
    </row>
    <row r="60" spans="2:142" x14ac:dyDescent="0.25">
      <c r="B60" s="38">
        <f t="shared" si="18"/>
        <v>10</v>
      </c>
      <c r="C60" s="39" t="str">
        <f t="shared" si="18"/>
        <v>MANZANA</v>
      </c>
      <c r="D60" s="40">
        <f t="shared" si="18"/>
        <v>9.812E-4</v>
      </c>
      <c r="E60" s="40">
        <f t="shared" si="18"/>
        <v>7.961313146065593E-3</v>
      </c>
      <c r="G60" s="52"/>
      <c r="H60" s="52" t="str">
        <f t="shared" ref="H60:AM60" si="64">IF(H18="","",IF(ISERROR(H18/G18-1),"",H18/G18-1))</f>
        <v/>
      </c>
      <c r="I60" s="52" t="str">
        <f t="shared" si="64"/>
        <v/>
      </c>
      <c r="J60" s="52">
        <f t="shared" si="64"/>
        <v>-0.12956433973564574</v>
      </c>
      <c r="K60" s="52">
        <f t="shared" si="64"/>
        <v>9.9916873326233446E-3</v>
      </c>
      <c r="L60" s="52">
        <f t="shared" si="64"/>
        <v>0.16148591538131463</v>
      </c>
      <c r="M60" s="52">
        <f t="shared" si="64"/>
        <v>6.612581028903719E-3</v>
      </c>
      <c r="N60" s="52">
        <f t="shared" si="64"/>
        <v>1.9602492975154151E-2</v>
      </c>
      <c r="O60" s="52">
        <f t="shared" si="64"/>
        <v>1.9564846369397371E-2</v>
      </c>
      <c r="P60" s="52">
        <f t="shared" si="64"/>
        <v>8.9918964835745019E-2</v>
      </c>
      <c r="Q60" s="52">
        <f t="shared" si="64"/>
        <v>6.1269662556683535E-2</v>
      </c>
      <c r="R60" s="52">
        <f t="shared" si="64"/>
        <v>6.8165014069879293E-2</v>
      </c>
      <c r="S60" s="52">
        <f t="shared" si="64"/>
        <v>0.30253822029569633</v>
      </c>
      <c r="T60" s="52">
        <f t="shared" si="64"/>
        <v>-0.43149848661105406</v>
      </c>
      <c r="U60" s="52">
        <f t="shared" si="64"/>
        <v>-7.4692544248663006E-2</v>
      </c>
      <c r="V60" s="52">
        <f t="shared" si="64"/>
        <v>-2.4006038683659581E-2</v>
      </c>
      <c r="W60" s="52">
        <f t="shared" si="64"/>
        <v>0.16273659212235092</v>
      </c>
      <c r="X60" s="52">
        <f t="shared" si="64"/>
        <v>2.1248326776722726E-2</v>
      </c>
      <c r="Y60" s="52">
        <f t="shared" si="64"/>
        <v>-8.741528236538243E-2</v>
      </c>
      <c r="Z60" s="52">
        <f t="shared" si="64"/>
        <v>-1.3747311221528835E-2</v>
      </c>
      <c r="AA60" s="52">
        <f t="shared" si="64"/>
        <v>7.3470298075464013E-2</v>
      </c>
      <c r="AB60" s="52">
        <f t="shared" si="64"/>
        <v>0.25054706404953198</v>
      </c>
      <c r="AC60" s="52">
        <f t="shared" si="64"/>
        <v>0.24222584281062631</v>
      </c>
      <c r="AD60" s="52">
        <f t="shared" si="64"/>
        <v>0.25703815278804831</v>
      </c>
      <c r="AE60" s="52" t="str">
        <f t="shared" si="64"/>
        <v/>
      </c>
      <c r="AF60" s="52" t="str">
        <f t="shared" si="64"/>
        <v/>
      </c>
      <c r="AG60" s="52" t="str">
        <f t="shared" si="64"/>
        <v/>
      </c>
      <c r="AH60" s="52">
        <f t="shared" si="64"/>
        <v>-9.6255688546255214E-2</v>
      </c>
      <c r="AI60" s="52">
        <f t="shared" si="64"/>
        <v>-2.3138284850214186E-2</v>
      </c>
      <c r="AJ60" s="52">
        <f t="shared" si="64"/>
        <v>1.3640908060515322E-2</v>
      </c>
      <c r="AK60" s="52">
        <f t="shared" si="64"/>
        <v>1.6809131424516011E-2</v>
      </c>
      <c r="AL60" s="52">
        <f t="shared" si="64"/>
        <v>0.11347279724390735</v>
      </c>
      <c r="AM60" s="52">
        <f t="shared" si="64"/>
        <v>-2.2849851306667501E-2</v>
      </c>
      <c r="AN60" s="52">
        <f t="shared" ref="AN60:BS60" si="65">IF(AN18="","",IF(ISERROR(AN18/AM18-1),"",AN18/AM18-1))</f>
        <v>5.6947763167804144E-2</v>
      </c>
      <c r="AO60" s="52">
        <f t="shared" si="65"/>
        <v>4.9655137697447893E-2</v>
      </c>
      <c r="AP60" s="52">
        <f t="shared" si="65"/>
        <v>7.0335884794343606E-3</v>
      </c>
      <c r="AQ60" s="52">
        <f t="shared" si="65"/>
        <v>5.6756282420817872E-3</v>
      </c>
      <c r="AR60" s="52" t="str">
        <f t="shared" si="65"/>
        <v/>
      </c>
      <c r="AS60" s="52" t="str">
        <f t="shared" si="65"/>
        <v/>
      </c>
      <c r="AT60" s="52">
        <f t="shared" si="65"/>
        <v>0.15070022562647112</v>
      </c>
      <c r="AU60" s="52">
        <f t="shared" si="65"/>
        <v>-6.5170431533592921E-2</v>
      </c>
      <c r="AV60" s="52">
        <f t="shared" si="65"/>
        <v>-1.1197299853596965E-2</v>
      </c>
      <c r="AW60" s="52">
        <f t="shared" si="65"/>
        <v>9.1821644400356117E-3</v>
      </c>
      <c r="AX60" s="52">
        <f t="shared" si="65"/>
        <v>4.8075621617770681E-2</v>
      </c>
      <c r="AY60" s="52">
        <f t="shared" si="65"/>
        <v>0.11509728401627517</v>
      </c>
      <c r="AZ60" s="52">
        <f t="shared" si="65"/>
        <v>0.1654299147156737</v>
      </c>
      <c r="BA60" s="52">
        <f t="shared" si="65"/>
        <v>0.16912933701718957</v>
      </c>
      <c r="BB60" s="52" t="str">
        <f t="shared" si="65"/>
        <v/>
      </c>
      <c r="BC60" s="52" t="str">
        <f t="shared" si="65"/>
        <v/>
      </c>
      <c r="BD60" s="52" t="str">
        <f t="shared" si="65"/>
        <v/>
      </c>
      <c r="BE60" s="52" t="str">
        <f t="shared" si="65"/>
        <v/>
      </c>
      <c r="BF60" s="52">
        <f t="shared" si="65"/>
        <v>-3.8282563037724038E-2</v>
      </c>
      <c r="BG60" s="52">
        <f t="shared" si="65"/>
        <v>-9.1913291738232816E-2</v>
      </c>
      <c r="BH60" s="52">
        <f t="shared" si="65"/>
        <v>1.8515424498248834E-2</v>
      </c>
      <c r="BI60" s="52">
        <f t="shared" si="65"/>
        <v>2.1808434808686883E-2</v>
      </c>
      <c r="BJ60" s="52">
        <f t="shared" si="65"/>
        <v>4.4273954175147345E-2</v>
      </c>
      <c r="BK60" s="52">
        <f t="shared" si="65"/>
        <v>0.20403250401798489</v>
      </c>
      <c r="BL60" s="52">
        <f t="shared" si="65"/>
        <v>7.5995465834657772E-2</v>
      </c>
      <c r="BM60" s="52">
        <f t="shared" si="65"/>
        <v>6.3541632012749094E-2</v>
      </c>
      <c r="BN60" s="52" t="str">
        <f t="shared" si="65"/>
        <v/>
      </c>
      <c r="BO60" s="52" t="str">
        <f t="shared" si="65"/>
        <v/>
      </c>
      <c r="BP60" s="52" t="str">
        <f t="shared" si="65"/>
        <v/>
      </c>
      <c r="BQ60" s="52" t="str">
        <f t="shared" si="65"/>
        <v/>
      </c>
      <c r="BR60" s="52">
        <f t="shared" si="65"/>
        <v>-0.10126001315373379</v>
      </c>
      <c r="BS60" s="52">
        <f t="shared" si="65"/>
        <v>-8.9884105976164363E-2</v>
      </c>
      <c r="BT60" s="52">
        <f t="shared" ref="BT60:CY60" si="66">IF(BT18="","",IF(ISERROR(BT18/BS18-1),"",BT18/BS18-1))</f>
        <v>-1.7959591159256938E-2</v>
      </c>
      <c r="BU60" s="52">
        <f t="shared" si="66"/>
        <v>4.0088499471016892E-2</v>
      </c>
      <c r="BV60" s="52">
        <f t="shared" si="66"/>
        <v>3.6299174241723797E-2</v>
      </c>
      <c r="BW60" s="52">
        <f t="shared" si="66"/>
        <v>8.5380986591838681E-2</v>
      </c>
      <c r="BX60" s="52">
        <f t="shared" si="66"/>
        <v>5.1424109864004475E-2</v>
      </c>
      <c r="BY60" s="52">
        <f t="shared" si="66"/>
        <v>8.8942714152409286E-2</v>
      </c>
      <c r="BZ60" s="52">
        <f t="shared" si="66"/>
        <v>6.5474048277565533E-2</v>
      </c>
      <c r="CA60" s="52">
        <f t="shared" si="66"/>
        <v>0.18248068867575662</v>
      </c>
      <c r="CB60" s="52">
        <f t="shared" si="66"/>
        <v>-8.6422140620075361E-2</v>
      </c>
      <c r="CC60" s="52">
        <f t="shared" si="66"/>
        <v>-0.13242698215601301</v>
      </c>
      <c r="CD60" s="52">
        <f t="shared" si="66"/>
        <v>-2.4098469788833454E-2</v>
      </c>
      <c r="CE60" s="52">
        <f t="shared" si="66"/>
        <v>-0.10866940426998972</v>
      </c>
      <c r="CF60" s="52">
        <f t="shared" si="66"/>
        <v>1.2998951974329209E-2</v>
      </c>
      <c r="CG60" s="52">
        <f t="shared" si="66"/>
        <v>-4.4394551565164475E-3</v>
      </c>
      <c r="CH60" s="52">
        <f t="shared" si="66"/>
        <v>-7.7334909403048435E-4</v>
      </c>
      <c r="CI60" s="52">
        <f t="shared" si="66"/>
        <v>5.0244987490744908E-2</v>
      </c>
      <c r="CJ60" s="52">
        <f t="shared" si="66"/>
        <v>8.555741073219103E-2</v>
      </c>
      <c r="CK60" s="52">
        <f t="shared" si="66"/>
        <v>7.7516639349061389E-2</v>
      </c>
      <c r="CL60" s="52">
        <f t="shared" si="66"/>
        <v>0.12929030014891563</v>
      </c>
      <c r="CM60" s="52">
        <f t="shared" si="66"/>
        <v>8.8288450816564668E-2</v>
      </c>
      <c r="CN60" s="52">
        <f t="shared" si="66"/>
        <v>-0.10603586628407424</v>
      </c>
      <c r="CO60" s="52">
        <f t="shared" si="66"/>
        <v>-0.12251065170536879</v>
      </c>
      <c r="CP60" s="52">
        <f t="shared" si="66"/>
        <v>-5.4708976512663599E-2</v>
      </c>
      <c r="CQ60" s="52">
        <f t="shared" si="66"/>
        <v>-2.863315357534113E-2</v>
      </c>
      <c r="CR60" s="52">
        <f t="shared" si="66"/>
        <v>-5.8270940415100503E-2</v>
      </c>
      <c r="CS60" s="52">
        <f t="shared" si="66"/>
        <v>-3.4763460508933419E-2</v>
      </c>
      <c r="CT60" s="52">
        <f t="shared" si="66"/>
        <v>5.2905887095169302E-2</v>
      </c>
      <c r="CU60" s="52">
        <f t="shared" si="66"/>
        <v>7.9496683525584588E-2</v>
      </c>
      <c r="CV60" s="52">
        <f t="shared" si="66"/>
        <v>0.17388384618961106</v>
      </c>
      <c r="CW60" s="52">
        <f t="shared" si="66"/>
        <v>0.21152038577934107</v>
      </c>
      <c r="CX60" s="52">
        <f t="shared" si="66"/>
        <v>8.8025939674136966E-2</v>
      </c>
      <c r="CY60" s="52" t="str">
        <f t="shared" si="66"/>
        <v/>
      </c>
      <c r="CZ60" s="52" t="str">
        <f t="shared" ref="CZ60:EE60" si="67">IF(CZ18="","",IF(ISERROR(CZ18/CY18-1),"",CZ18/CY18-1))</f>
        <v/>
      </c>
      <c r="DA60" s="52" t="str">
        <f t="shared" si="67"/>
        <v/>
      </c>
      <c r="DB60" s="52">
        <f t="shared" si="67"/>
        <v>-0.11979461660232238</v>
      </c>
      <c r="DC60" s="52">
        <f t="shared" si="67"/>
        <v>7.7021114365207755E-3</v>
      </c>
      <c r="DD60" s="52">
        <f t="shared" si="67"/>
        <v>1.7673888106635172E-3</v>
      </c>
      <c r="DE60" s="52">
        <f t="shared" si="67"/>
        <v>-2.6518003074901708E-2</v>
      </c>
      <c r="DF60" s="52">
        <f t="shared" si="67"/>
        <v>8.3701934281247947E-2</v>
      </c>
      <c r="DG60" s="52">
        <f t="shared" si="67"/>
        <v>0.10086746930752999</v>
      </c>
      <c r="DH60" s="52">
        <f t="shared" si="67"/>
        <v>0.12998338558938172</v>
      </c>
      <c r="DI60" s="52">
        <f t="shared" si="67"/>
        <v>0.11557317331213701</v>
      </c>
      <c r="DJ60" s="52">
        <f t="shared" si="67"/>
        <v>7.8009499241122215E-2</v>
      </c>
      <c r="DK60" s="52" t="str">
        <f t="shared" si="67"/>
        <v/>
      </c>
      <c r="DL60" s="52" t="str">
        <f t="shared" si="67"/>
        <v/>
      </c>
      <c r="DM60" s="52">
        <f t="shared" si="67"/>
        <v>-6.2695085006515217E-2</v>
      </c>
      <c r="DN60" s="52">
        <f t="shared" si="67"/>
        <v>-6.5623748886987965E-2</v>
      </c>
      <c r="DO60" s="52">
        <f t="shared" si="67"/>
        <v>-2.9610617918359727E-2</v>
      </c>
      <c r="DP60" s="52" t="str">
        <f t="shared" si="67"/>
        <v/>
      </c>
      <c r="DQ60" s="52" t="str">
        <f t="shared" si="67"/>
        <v/>
      </c>
      <c r="DR60" s="52" t="str">
        <f t="shared" si="67"/>
        <v/>
      </c>
      <c r="DS60" s="52" t="str">
        <f t="shared" si="67"/>
        <v/>
      </c>
      <c r="DT60" s="52" t="str">
        <f t="shared" si="67"/>
        <v/>
      </c>
      <c r="DU60" s="52" t="str">
        <f t="shared" si="67"/>
        <v/>
      </c>
      <c r="DV60" s="52" t="str">
        <f t="shared" si="67"/>
        <v/>
      </c>
      <c r="DW60" s="52" t="str">
        <f t="shared" si="67"/>
        <v/>
      </c>
      <c r="DX60" s="52" t="str">
        <f t="shared" si="67"/>
        <v/>
      </c>
      <c r="DY60" s="52" t="str">
        <f t="shared" si="67"/>
        <v/>
      </c>
      <c r="DZ60" s="52" t="str">
        <f t="shared" si="67"/>
        <v/>
      </c>
      <c r="EA60" s="52" t="str">
        <f t="shared" si="67"/>
        <v/>
      </c>
      <c r="EB60" s="52" t="str">
        <f t="shared" si="67"/>
        <v/>
      </c>
      <c r="EC60" s="52" t="str">
        <f t="shared" si="67"/>
        <v/>
      </c>
      <c r="ED60" s="52" t="str">
        <f t="shared" si="67"/>
        <v/>
      </c>
      <c r="EE60" s="52" t="str">
        <f t="shared" si="67"/>
        <v/>
      </c>
      <c r="EF60" s="52" t="str">
        <f t="shared" ref="EF60:EL60" si="68">IF(EF18="","",IF(ISERROR(EF18/EE18-1),"",EF18/EE18-1))</f>
        <v/>
      </c>
      <c r="EG60" s="52" t="str">
        <f t="shared" si="68"/>
        <v/>
      </c>
      <c r="EH60" s="52" t="str">
        <f t="shared" si="68"/>
        <v/>
      </c>
      <c r="EI60" s="52" t="str">
        <f t="shared" si="68"/>
        <v/>
      </c>
      <c r="EJ60" s="52" t="str">
        <f t="shared" si="68"/>
        <v/>
      </c>
      <c r="EK60" s="52" t="str">
        <f t="shared" si="68"/>
        <v/>
      </c>
      <c r="EL60" s="52" t="str">
        <f t="shared" si="68"/>
        <v/>
      </c>
    </row>
    <row r="61" spans="2:142" x14ac:dyDescent="0.25">
      <c r="B61" s="18">
        <f t="shared" si="18"/>
        <v>11</v>
      </c>
      <c r="C61" s="19" t="str">
        <f t="shared" si="18"/>
        <v>NARANJA</v>
      </c>
      <c r="D61" s="20">
        <f t="shared" si="18"/>
        <v>9.2460000000000003E-4</v>
      </c>
      <c r="E61" s="20">
        <f t="shared" si="18"/>
        <v>7.5020690326663758E-3</v>
      </c>
      <c r="G61" s="47"/>
      <c r="H61" s="47" t="str">
        <f t="shared" ref="H61:AM61" si="69">IF(H19="","",IF(ISERROR(H19/G19-1),"",H19/G19-1))</f>
        <v/>
      </c>
      <c r="I61" s="47" t="str">
        <f t="shared" si="69"/>
        <v/>
      </c>
      <c r="J61" s="47">
        <f t="shared" si="69"/>
        <v>-1.5405820943067972E-2</v>
      </c>
      <c r="K61" s="47">
        <f t="shared" si="69"/>
        <v>1.9392977039202508E-2</v>
      </c>
      <c r="L61" s="47">
        <f t="shared" si="69"/>
        <v>-0.17212618534796231</v>
      </c>
      <c r="M61" s="47">
        <f t="shared" si="69"/>
        <v>-0.21269074806485411</v>
      </c>
      <c r="N61" s="47">
        <f t="shared" si="69"/>
        <v>-0.17073527626519924</v>
      </c>
      <c r="O61" s="47">
        <f t="shared" si="69"/>
        <v>-1.2204328301412604E-2</v>
      </c>
      <c r="P61" s="47">
        <f t="shared" si="69"/>
        <v>-2.5466383017822669E-2</v>
      </c>
      <c r="Q61" s="47">
        <f t="shared" si="69"/>
        <v>0.21743202317797872</v>
      </c>
      <c r="R61" s="47">
        <f t="shared" si="69"/>
        <v>3.3500277374713061E-2</v>
      </c>
      <c r="S61" s="47">
        <f t="shared" si="69"/>
        <v>0.26808550809006837</v>
      </c>
      <c r="T61" s="47">
        <f t="shared" si="69"/>
        <v>-1.4036733008006341E-2</v>
      </c>
      <c r="U61" s="47">
        <f t="shared" si="69"/>
        <v>-1.4969070521175465E-2</v>
      </c>
      <c r="V61" s="47">
        <f t="shared" si="69"/>
        <v>2.3337109748404528E-2</v>
      </c>
      <c r="W61" s="47">
        <f t="shared" si="69"/>
        <v>-1.1891450968750883E-2</v>
      </c>
      <c r="X61" s="47">
        <f t="shared" si="69"/>
        <v>-8.6345475289508089E-2</v>
      </c>
      <c r="Y61" s="47">
        <f t="shared" si="69"/>
        <v>-1.9967520925799342E-2</v>
      </c>
      <c r="Z61" s="47">
        <f t="shared" si="69"/>
        <v>-0.10639797788081484</v>
      </c>
      <c r="AA61" s="47">
        <f t="shared" si="69"/>
        <v>1.6051933615086833E-2</v>
      </c>
      <c r="AB61" s="47">
        <f t="shared" si="69"/>
        <v>0.25490536678736131</v>
      </c>
      <c r="AC61" s="47">
        <f t="shared" si="69"/>
        <v>0.36162121969150984</v>
      </c>
      <c r="AD61" s="47">
        <f t="shared" si="69"/>
        <v>0.34347165526893475</v>
      </c>
      <c r="AE61" s="47">
        <f t="shared" si="69"/>
        <v>6.4253217388379191E-3</v>
      </c>
      <c r="AF61" s="47" t="str">
        <f t="shared" si="69"/>
        <v/>
      </c>
      <c r="AG61" s="47" t="str">
        <f t="shared" si="69"/>
        <v/>
      </c>
      <c r="AH61" s="47" t="str">
        <f t="shared" si="69"/>
        <v/>
      </c>
      <c r="AI61" s="47" t="str">
        <f t="shared" si="69"/>
        <v/>
      </c>
      <c r="AJ61" s="47" t="str">
        <f t="shared" si="69"/>
        <v/>
      </c>
      <c r="AK61" s="47">
        <f t="shared" si="69"/>
        <v>-0.24454491825403812</v>
      </c>
      <c r="AL61" s="47">
        <f t="shared" si="69"/>
        <v>-0.10591485176063686</v>
      </c>
      <c r="AM61" s="47">
        <f t="shared" si="69"/>
        <v>-0.18338838617676656</v>
      </c>
      <c r="AN61" s="47">
        <f t="shared" ref="AN61:BS61" si="70">IF(AN19="","",IF(ISERROR(AN19/AM19-1),"",AN19/AM19-1))</f>
        <v>0.14073729269685553</v>
      </c>
      <c r="AO61" s="47">
        <f t="shared" si="70"/>
        <v>7.2141859482700132E-2</v>
      </c>
      <c r="AP61" s="47">
        <f t="shared" si="70"/>
        <v>2.4960175471692603E-2</v>
      </c>
      <c r="AQ61" s="47">
        <f t="shared" si="70"/>
        <v>2.8298574814425326E-2</v>
      </c>
      <c r="AR61" s="47">
        <f t="shared" si="70"/>
        <v>4.1993941477900032E-2</v>
      </c>
      <c r="AS61" s="47">
        <f t="shared" si="70"/>
        <v>0.111910641431612</v>
      </c>
      <c r="AT61" s="47">
        <f t="shared" si="70"/>
        <v>1.1235465520799348E-2</v>
      </c>
      <c r="AU61" s="47">
        <f t="shared" si="70"/>
        <v>3.2702906251052433E-2</v>
      </c>
      <c r="AV61" s="47">
        <f t="shared" si="70"/>
        <v>-6.9772109877241917E-5</v>
      </c>
      <c r="AW61" s="47">
        <f t="shared" si="70"/>
        <v>-8.848045047322961E-2</v>
      </c>
      <c r="AX61" s="47">
        <f t="shared" si="70"/>
        <v>-9.6597732827020111E-2</v>
      </c>
      <c r="AY61" s="47">
        <f t="shared" si="70"/>
        <v>-6.3715862074210206E-2</v>
      </c>
      <c r="AZ61" s="47">
        <f t="shared" si="70"/>
        <v>4.1922085017816357E-2</v>
      </c>
      <c r="BA61" s="47">
        <f t="shared" si="70"/>
        <v>0.10942211914326494</v>
      </c>
      <c r="BB61" s="47">
        <f t="shared" si="70"/>
        <v>0.12294520370779516</v>
      </c>
      <c r="BC61" s="47">
        <f t="shared" si="70"/>
        <v>8.3771768655941381E-2</v>
      </c>
      <c r="BD61" s="47">
        <f t="shared" si="70"/>
        <v>4.2982116578853535E-2</v>
      </c>
      <c r="BE61" s="47">
        <f t="shared" si="70"/>
        <v>7.3207312965441584E-2</v>
      </c>
      <c r="BF61" s="47">
        <f t="shared" si="70"/>
        <v>4.0852621718757698E-2</v>
      </c>
      <c r="BG61" s="47">
        <f t="shared" si="70"/>
        <v>-0.11818041971100568</v>
      </c>
      <c r="BH61" s="47">
        <f t="shared" si="70"/>
        <v>-8.2245087963342622E-2</v>
      </c>
      <c r="BI61" s="47">
        <f t="shared" si="70"/>
        <v>-0.13006311040779772</v>
      </c>
      <c r="BJ61" s="47">
        <f t="shared" si="70"/>
        <v>-0.18274639157846173</v>
      </c>
      <c r="BK61" s="47">
        <f t="shared" si="70"/>
        <v>-1.1797049446835572E-3</v>
      </c>
      <c r="BL61" s="47">
        <f t="shared" si="70"/>
        <v>7.9773732852471912E-2</v>
      </c>
      <c r="BM61" s="47">
        <f t="shared" si="70"/>
        <v>0.17937297391626217</v>
      </c>
      <c r="BN61" s="47">
        <f t="shared" si="70"/>
        <v>0.11966837568697075</v>
      </c>
      <c r="BO61" s="47">
        <f t="shared" si="70"/>
        <v>0.10576857007110041</v>
      </c>
      <c r="BP61" s="47">
        <f t="shared" si="70"/>
        <v>3.2978073681243281E-2</v>
      </c>
      <c r="BQ61" s="47">
        <f t="shared" si="70"/>
        <v>0.22600765078347629</v>
      </c>
      <c r="BR61" s="47">
        <f t="shared" si="70"/>
        <v>1.1189055840013173E-2</v>
      </c>
      <c r="BS61" s="47">
        <f t="shared" si="70"/>
        <v>0.13413534061937438</v>
      </c>
      <c r="BT61" s="47">
        <f t="shared" ref="BT61:CY61" si="71">IF(BT19="","",IF(ISERROR(BT19/BS19-1),"",BT19/BS19-1))</f>
        <v>-0.17500330175376066</v>
      </c>
      <c r="BU61" s="47">
        <f t="shared" si="71"/>
        <v>-0.26432448685367838</v>
      </c>
      <c r="BV61" s="47">
        <f t="shared" si="71"/>
        <v>-0.14523657952778091</v>
      </c>
      <c r="BW61" s="47">
        <f t="shared" si="71"/>
        <v>8.0615875957623651E-2</v>
      </c>
      <c r="BX61" s="47">
        <f t="shared" si="71"/>
        <v>0.10498539195936329</v>
      </c>
      <c r="BY61" s="47">
        <f t="shared" si="71"/>
        <v>0.13415099274127207</v>
      </c>
      <c r="BZ61" s="47">
        <f t="shared" si="71"/>
        <v>0.14214330320994772</v>
      </c>
      <c r="CA61" s="47">
        <f t="shared" si="71"/>
        <v>0.18104012152176052</v>
      </c>
      <c r="CB61" s="47">
        <f t="shared" si="71"/>
        <v>9.7740729098904078E-2</v>
      </c>
      <c r="CC61" s="47">
        <f t="shared" si="71"/>
        <v>6.6843384119489979E-2</v>
      </c>
      <c r="CD61" s="47">
        <f t="shared" si="71"/>
        <v>8.2084227760121919E-2</v>
      </c>
      <c r="CE61" s="47">
        <f t="shared" si="71"/>
        <v>-1.9473141820200768E-2</v>
      </c>
      <c r="CF61" s="47">
        <f t="shared" si="71"/>
        <v>-0.20667638217584883</v>
      </c>
      <c r="CG61" s="47">
        <f t="shared" si="71"/>
        <v>-0.1194556903188797</v>
      </c>
      <c r="CH61" s="47">
        <f t="shared" si="71"/>
        <v>-1.5957819030783305E-2</v>
      </c>
      <c r="CI61" s="47">
        <f t="shared" si="71"/>
        <v>6.755180995701271E-2</v>
      </c>
      <c r="CJ61" s="47">
        <f t="shared" si="71"/>
        <v>3.4648570984501026E-2</v>
      </c>
      <c r="CK61" s="47">
        <f t="shared" si="71"/>
        <v>3.508228425274762E-3</v>
      </c>
      <c r="CL61" s="47">
        <f t="shared" si="71"/>
        <v>6.883092313159267E-2</v>
      </c>
      <c r="CM61" s="47">
        <f t="shared" si="71"/>
        <v>5.1502678021121628E-2</v>
      </c>
      <c r="CN61" s="47">
        <f t="shared" si="71"/>
        <v>3.0846736988554335E-2</v>
      </c>
      <c r="CO61" s="47">
        <f t="shared" si="71"/>
        <v>2.1733669498642971E-2</v>
      </c>
      <c r="CP61" s="47">
        <f t="shared" si="71"/>
        <v>2.9015252342632358E-3</v>
      </c>
      <c r="CQ61" s="47">
        <f t="shared" si="71"/>
        <v>-3.0525801100322214E-2</v>
      </c>
      <c r="CR61" s="47">
        <f t="shared" si="71"/>
        <v>-0.10701783596011349</v>
      </c>
      <c r="CS61" s="47">
        <f t="shared" si="71"/>
        <v>-0.1164119366392129</v>
      </c>
      <c r="CT61" s="47">
        <f t="shared" si="71"/>
        <v>-3.3049259662052743E-2</v>
      </c>
      <c r="CU61" s="47">
        <f t="shared" si="71"/>
        <v>1.5849506388655676E-2</v>
      </c>
      <c r="CV61" s="47">
        <f t="shared" si="71"/>
        <v>5.0559441185151766E-2</v>
      </c>
      <c r="CW61" s="47">
        <f t="shared" si="71"/>
        <v>9.669035290471073E-2</v>
      </c>
      <c r="CX61" s="47">
        <f t="shared" si="71"/>
        <v>5.2394402775668869E-2</v>
      </c>
      <c r="CY61" s="47">
        <f t="shared" si="71"/>
        <v>0.11688375616668889</v>
      </c>
      <c r="CZ61" s="47">
        <f t="shared" ref="CZ61:EE61" si="72">IF(CZ19="","",IF(ISERROR(CZ19/CY19-1),"",CZ19/CY19-1))</f>
        <v>3.373150866034802E-2</v>
      </c>
      <c r="DA61" s="47">
        <f t="shared" si="72"/>
        <v>8.6914799925793762E-2</v>
      </c>
      <c r="DB61" s="47">
        <f t="shared" si="72"/>
        <v>8.7533795907247081E-2</v>
      </c>
      <c r="DC61" s="47">
        <f t="shared" si="72"/>
        <v>1.0445649807986346E-3</v>
      </c>
      <c r="DD61" s="47">
        <f t="shared" si="72"/>
        <v>-0.20533190990834771</v>
      </c>
      <c r="DE61" s="47">
        <f t="shared" si="72"/>
        <v>-0.15498182927699555</v>
      </c>
      <c r="DF61" s="47">
        <f t="shared" si="72"/>
        <v>-3.906776809780399E-2</v>
      </c>
      <c r="DG61" s="47">
        <f t="shared" si="72"/>
        <v>3.1800345248652606E-2</v>
      </c>
      <c r="DH61" s="47">
        <f t="shared" si="72"/>
        <v>9.4208843398309705E-2</v>
      </c>
      <c r="DI61" s="47">
        <f t="shared" si="72"/>
        <v>7.1216501791922404E-2</v>
      </c>
      <c r="DJ61" s="47">
        <f t="shared" si="72"/>
        <v>3.2166171653193798E-2</v>
      </c>
      <c r="DK61" s="47">
        <f t="shared" si="72"/>
        <v>5.2692415607514587E-2</v>
      </c>
      <c r="DL61" s="47">
        <f t="shared" si="72"/>
        <v>6.5192602070579753E-2</v>
      </c>
      <c r="DM61" s="47">
        <f t="shared" si="72"/>
        <v>1.945926084811811E-2</v>
      </c>
      <c r="DN61" s="48">
        <f t="shared" si="72"/>
        <v>5.6552503323036962E-2</v>
      </c>
      <c r="DO61" s="47">
        <f t="shared" si="72"/>
        <v>4.5386785835741517E-3</v>
      </c>
      <c r="DP61" s="47" t="str">
        <f t="shared" si="72"/>
        <v/>
      </c>
      <c r="DQ61" s="47" t="str">
        <f t="shared" si="72"/>
        <v/>
      </c>
      <c r="DR61" s="47" t="str">
        <f t="shared" si="72"/>
        <v/>
      </c>
      <c r="DS61" s="47" t="str">
        <f t="shared" si="72"/>
        <v/>
      </c>
      <c r="DT61" s="47" t="str">
        <f t="shared" si="72"/>
        <v/>
      </c>
      <c r="DU61" s="47" t="str">
        <f t="shared" si="72"/>
        <v/>
      </c>
      <c r="DV61" s="47" t="str">
        <f t="shared" si="72"/>
        <v/>
      </c>
      <c r="DW61" s="47" t="str">
        <f t="shared" si="72"/>
        <v/>
      </c>
      <c r="DX61" s="47" t="str">
        <f t="shared" si="72"/>
        <v/>
      </c>
      <c r="DY61" s="47" t="str">
        <f t="shared" si="72"/>
        <v/>
      </c>
      <c r="DZ61" s="47" t="str">
        <f t="shared" si="72"/>
        <v/>
      </c>
      <c r="EA61" s="47" t="str">
        <f t="shared" si="72"/>
        <v/>
      </c>
      <c r="EB61" s="47" t="str">
        <f t="shared" si="72"/>
        <v/>
      </c>
      <c r="EC61" s="47" t="str">
        <f t="shared" si="72"/>
        <v/>
      </c>
      <c r="ED61" s="47" t="str">
        <f t="shared" si="72"/>
        <v/>
      </c>
      <c r="EE61" s="47" t="str">
        <f t="shared" si="72"/>
        <v/>
      </c>
      <c r="EF61" s="47" t="str">
        <f t="shared" ref="EF61:EL61" si="73">IF(EF19="","",IF(ISERROR(EF19/EE19-1),"",EF19/EE19-1))</f>
        <v/>
      </c>
      <c r="EG61" s="47" t="str">
        <f t="shared" si="73"/>
        <v/>
      </c>
      <c r="EH61" s="47" t="str">
        <f t="shared" si="73"/>
        <v/>
      </c>
      <c r="EI61" s="47" t="str">
        <f t="shared" si="73"/>
        <v/>
      </c>
      <c r="EJ61" s="47" t="str">
        <f t="shared" si="73"/>
        <v/>
      </c>
      <c r="EK61" s="47" t="str">
        <f t="shared" si="73"/>
        <v/>
      </c>
      <c r="EL61" s="47" t="str">
        <f t="shared" si="73"/>
        <v/>
      </c>
    </row>
    <row r="62" spans="2:142" x14ac:dyDescent="0.25">
      <c r="B62" s="22">
        <f t="shared" si="18"/>
        <v>12</v>
      </c>
      <c r="C62" s="23" t="str">
        <f t="shared" si="18"/>
        <v>PALTA</v>
      </c>
      <c r="D62" s="24">
        <f t="shared" si="18"/>
        <v>2.8422999999999999E-3</v>
      </c>
      <c r="E62" s="24">
        <f t="shared" si="18"/>
        <v>2.3062006069162491E-2</v>
      </c>
      <c r="G62" s="48"/>
      <c r="H62" s="48" t="str">
        <f t="shared" ref="H62:AM62" si="74">IF(H20="","",IF(ISERROR(H20/G20-1),"",H20/G20-1))</f>
        <v/>
      </c>
      <c r="I62" s="48" t="str">
        <f t="shared" si="74"/>
        <v/>
      </c>
      <c r="J62" s="48">
        <f t="shared" si="74"/>
        <v>0.1050614948827262</v>
      </c>
      <c r="K62" s="48">
        <f t="shared" si="74"/>
        <v>0.23825929379229294</v>
      </c>
      <c r="L62" s="48">
        <f t="shared" si="74"/>
        <v>0.27497558087081075</v>
      </c>
      <c r="M62" s="48">
        <f t="shared" si="74"/>
        <v>-6.290974150422457E-2</v>
      </c>
      <c r="N62" s="48">
        <f t="shared" si="74"/>
        <v>-0.15822359330362268</v>
      </c>
      <c r="O62" s="48">
        <f t="shared" si="74"/>
        <v>-0.1013123966659788</v>
      </c>
      <c r="P62" s="48">
        <f t="shared" si="74"/>
        <v>8.0699511186468564E-2</v>
      </c>
      <c r="Q62" s="48">
        <f t="shared" si="74"/>
        <v>-1.1424449873199682E-2</v>
      </c>
      <c r="R62" s="48">
        <f t="shared" si="74"/>
        <v>-1.6884246426037697E-2</v>
      </c>
      <c r="S62" s="48">
        <f t="shared" si="74"/>
        <v>2.0326953215709542E-2</v>
      </c>
      <c r="T62" s="48">
        <f t="shared" si="74"/>
        <v>1.2812233898807923E-2</v>
      </c>
      <c r="U62" s="48">
        <f t="shared" si="74"/>
        <v>7.1812496728086428E-2</v>
      </c>
      <c r="V62" s="48">
        <f t="shared" si="74"/>
        <v>9.4343594837870803E-2</v>
      </c>
      <c r="W62" s="48">
        <f t="shared" si="74"/>
        <v>0.21318666129895458</v>
      </c>
      <c r="X62" s="48">
        <f t="shared" si="74"/>
        <v>-0.48276072778440149</v>
      </c>
      <c r="Y62" s="48">
        <f t="shared" si="74"/>
        <v>-6.1619242301862776E-2</v>
      </c>
      <c r="Z62" s="48">
        <f t="shared" si="74"/>
        <v>-0.14426341995683234</v>
      </c>
      <c r="AA62" s="48">
        <f t="shared" si="74"/>
        <v>3.5610211210741483E-3</v>
      </c>
      <c r="AB62" s="48">
        <f t="shared" si="74"/>
        <v>-0.11079894552531999</v>
      </c>
      <c r="AC62" s="48">
        <f t="shared" si="74"/>
        <v>-8.2566003380107E-2</v>
      </c>
      <c r="AD62" s="48">
        <f t="shared" si="74"/>
        <v>-0.10308033481404244</v>
      </c>
      <c r="AE62" s="48">
        <f t="shared" si="74"/>
        <v>3.8290532068595118E-2</v>
      </c>
      <c r="AF62" s="48">
        <f t="shared" si="74"/>
        <v>-9.8530594843401209E-3</v>
      </c>
      <c r="AG62" s="48">
        <f t="shared" si="74"/>
        <v>0.18915460784813765</v>
      </c>
      <c r="AH62" s="48">
        <f t="shared" si="74"/>
        <v>4.2912216124753044E-3</v>
      </c>
      <c r="AI62" s="48">
        <f t="shared" si="74"/>
        <v>-1.5206434289578796E-2</v>
      </c>
      <c r="AJ62" s="48">
        <f t="shared" si="74"/>
        <v>0.13315848694025734</v>
      </c>
      <c r="AK62" s="48">
        <f t="shared" si="74"/>
        <v>0.37539861085304249</v>
      </c>
      <c r="AL62" s="48">
        <f t="shared" si="74"/>
        <v>-0.12532802310250513</v>
      </c>
      <c r="AM62" s="48">
        <f t="shared" si="74"/>
        <v>0.28983782822782267</v>
      </c>
      <c r="AN62" s="48">
        <f t="shared" ref="AN62:BS62" si="75">IF(AN20="","",IF(ISERROR(AN20/AM20-1),"",AN20/AM20-1))</f>
        <v>-3.5782422343341613E-2</v>
      </c>
      <c r="AO62" s="48">
        <f t="shared" si="75"/>
        <v>-0.16030867192877418</v>
      </c>
      <c r="AP62" s="48">
        <f t="shared" si="75"/>
        <v>6.8536330404018742E-2</v>
      </c>
      <c r="AQ62" s="48">
        <f t="shared" si="75"/>
        <v>8.7946893596617004E-2</v>
      </c>
      <c r="AR62" s="48">
        <f t="shared" si="75"/>
        <v>9.5707400154152467E-2</v>
      </c>
      <c r="AS62" s="48">
        <f t="shared" si="75"/>
        <v>0.21631452287606878</v>
      </c>
      <c r="AT62" s="48">
        <f t="shared" si="75"/>
        <v>0.10660982096163818</v>
      </c>
      <c r="AU62" s="48">
        <f t="shared" si="75"/>
        <v>0.18653167530498815</v>
      </c>
      <c r="AV62" s="48">
        <f t="shared" si="75"/>
        <v>7.6987685208319112E-2</v>
      </c>
      <c r="AW62" s="48">
        <f t="shared" si="75"/>
        <v>-0.27849089400847182</v>
      </c>
      <c r="AX62" s="48">
        <f t="shared" si="75"/>
        <v>-0.32406705553044546</v>
      </c>
      <c r="AY62" s="48">
        <f t="shared" si="75"/>
        <v>0.33265910761578654</v>
      </c>
      <c r="AZ62" s="48">
        <f t="shared" si="75"/>
        <v>1.1942293576016949E-2</v>
      </c>
      <c r="BA62" s="48">
        <f t="shared" si="75"/>
        <v>-0.12975766469206507</v>
      </c>
      <c r="BB62" s="48">
        <f t="shared" si="75"/>
        <v>-5.5336799293674077E-2</v>
      </c>
      <c r="BC62" s="48">
        <f t="shared" si="75"/>
        <v>-4.9008465859239569E-2</v>
      </c>
      <c r="BD62" s="48">
        <f t="shared" si="75"/>
        <v>-2.5008900474841389E-2</v>
      </c>
      <c r="BE62" s="48">
        <f t="shared" si="75"/>
        <v>-1.3503422943492716E-2</v>
      </c>
      <c r="BF62" s="48">
        <f t="shared" si="75"/>
        <v>-3.7353503599408588E-2</v>
      </c>
      <c r="BG62" s="48">
        <f t="shared" si="75"/>
        <v>-2.7819140992137226E-2</v>
      </c>
      <c r="BH62" s="48">
        <f t="shared" si="75"/>
        <v>0.10002241359627373</v>
      </c>
      <c r="BI62" s="48">
        <f t="shared" si="75"/>
        <v>0.32372602705612397</v>
      </c>
      <c r="BJ62" s="48">
        <f t="shared" si="75"/>
        <v>-7.8868839014480829E-2</v>
      </c>
      <c r="BK62" s="48">
        <f t="shared" si="75"/>
        <v>-0.10597352773157542</v>
      </c>
      <c r="BL62" s="48">
        <f t="shared" si="75"/>
        <v>-7.4667285681385698E-2</v>
      </c>
      <c r="BM62" s="48">
        <f t="shared" si="75"/>
        <v>-4.0235423479589527E-2</v>
      </c>
      <c r="BN62" s="48">
        <f t="shared" si="75"/>
        <v>-7.5090145705267841E-2</v>
      </c>
      <c r="BO62" s="48">
        <f t="shared" si="75"/>
        <v>0.19808682159476843</v>
      </c>
      <c r="BP62" s="48">
        <f t="shared" si="75"/>
        <v>5.3180449892445303E-2</v>
      </c>
      <c r="BQ62" s="48">
        <f t="shared" si="75"/>
        <v>0.17651603432290131</v>
      </c>
      <c r="BR62" s="48">
        <f t="shared" si="75"/>
        <v>3.9392590313605202E-2</v>
      </c>
      <c r="BS62" s="48">
        <f t="shared" si="75"/>
        <v>-0.14774136987765141</v>
      </c>
      <c r="BT62" s="48">
        <f t="shared" ref="BT62:CY62" si="76">IF(BT20="","",IF(ISERROR(BT20/BS20-1),"",BT20/BS20-1))</f>
        <v>5.7429276561728804E-2</v>
      </c>
      <c r="BU62" s="48">
        <f t="shared" si="76"/>
        <v>-1.3703589231585878E-2</v>
      </c>
      <c r="BV62" s="48">
        <f t="shared" si="76"/>
        <v>-8.0302001337858808E-2</v>
      </c>
      <c r="BW62" s="48">
        <f t="shared" si="76"/>
        <v>-3.7612461698322552E-2</v>
      </c>
      <c r="BX62" s="48">
        <f t="shared" si="76"/>
        <v>-8.2965188574981585E-2</v>
      </c>
      <c r="BY62" s="48">
        <f t="shared" si="76"/>
        <v>-5.8763255933712122E-2</v>
      </c>
      <c r="BZ62" s="48">
        <f t="shared" si="76"/>
        <v>-2.3294310190109191E-2</v>
      </c>
      <c r="CA62" s="48">
        <f t="shared" si="76"/>
        <v>-1.3827537344017538E-2</v>
      </c>
      <c r="CB62" s="48">
        <f t="shared" si="76"/>
        <v>-8.709825542929428E-3</v>
      </c>
      <c r="CC62" s="48">
        <f t="shared" si="76"/>
        <v>2.9533214044498601E-2</v>
      </c>
      <c r="CD62" s="48">
        <f t="shared" si="76"/>
        <v>3.0650968003914425E-2</v>
      </c>
      <c r="CE62" s="48">
        <f t="shared" si="76"/>
        <v>-2.6249567088455161E-2</v>
      </c>
      <c r="CF62" s="48">
        <f t="shared" si="76"/>
        <v>3.8921254959582985E-2</v>
      </c>
      <c r="CG62" s="48">
        <f t="shared" si="76"/>
        <v>0.23923809616140446</v>
      </c>
      <c r="CH62" s="48">
        <f t="shared" si="76"/>
        <v>0.12045425710522029</v>
      </c>
      <c r="CI62" s="48">
        <f t="shared" si="76"/>
        <v>3.6087312593751086E-2</v>
      </c>
      <c r="CJ62" s="48">
        <f t="shared" si="76"/>
        <v>-1.7059094431413957E-2</v>
      </c>
      <c r="CK62" s="48">
        <f t="shared" si="76"/>
        <v>2.7481946275482505E-2</v>
      </c>
      <c r="CL62" s="48">
        <f t="shared" si="76"/>
        <v>6.8802401252378464E-2</v>
      </c>
      <c r="CM62" s="48">
        <f t="shared" si="76"/>
        <v>0.11467999418555985</v>
      </c>
      <c r="CN62" s="48">
        <f t="shared" si="76"/>
        <v>1.195997925729908E-2</v>
      </c>
      <c r="CO62" s="48">
        <f t="shared" si="76"/>
        <v>8.8007859496902707E-2</v>
      </c>
      <c r="CP62" s="48">
        <f t="shared" si="76"/>
        <v>-1.9136530775045402E-2</v>
      </c>
      <c r="CQ62" s="48">
        <f t="shared" si="76"/>
        <v>-5.1392631375032138E-2</v>
      </c>
      <c r="CR62" s="48">
        <f t="shared" si="76"/>
        <v>5.8307212083663185E-2</v>
      </c>
      <c r="CS62" s="48">
        <f t="shared" si="76"/>
        <v>-0.12647060511520036</v>
      </c>
      <c r="CT62" s="48">
        <f t="shared" si="76"/>
        <v>0.1086767447008723</v>
      </c>
      <c r="CU62" s="48">
        <f t="shared" si="76"/>
        <v>-8.411724881828242E-2</v>
      </c>
      <c r="CV62" s="48">
        <f t="shared" si="76"/>
        <v>4.4772181592624971E-3</v>
      </c>
      <c r="CW62" s="48">
        <f t="shared" si="76"/>
        <v>-8.3977097124678934E-2</v>
      </c>
      <c r="CX62" s="48">
        <f t="shared" si="76"/>
        <v>-8.5509032069833735E-3</v>
      </c>
      <c r="CY62" s="48">
        <f t="shared" si="76"/>
        <v>3.9962194856573374E-2</v>
      </c>
      <c r="CZ62" s="48">
        <f t="shared" ref="CZ62:EE62" si="77">IF(CZ20="","",IF(ISERROR(CZ20/CY20-1),"",CZ20/CY20-1))</f>
        <v>7.3888966668678169E-3</v>
      </c>
      <c r="DA62" s="48">
        <f t="shared" si="77"/>
        <v>0.17678552016430582</v>
      </c>
      <c r="DB62" s="48">
        <f t="shared" si="77"/>
        <v>4.4913070910706621E-2</v>
      </c>
      <c r="DC62" s="48">
        <f t="shared" si="77"/>
        <v>2.0784249331916804E-2</v>
      </c>
      <c r="DD62" s="48">
        <f t="shared" si="77"/>
        <v>0.12091862956077204</v>
      </c>
      <c r="DE62" s="48">
        <f t="shared" si="77"/>
        <v>-0.14450125432113969</v>
      </c>
      <c r="DF62" s="48">
        <f t="shared" si="77"/>
        <v>-6.1058588590806262E-2</v>
      </c>
      <c r="DG62" s="48">
        <f t="shared" si="77"/>
        <v>-4.7893285188526646E-2</v>
      </c>
      <c r="DH62" s="48">
        <f t="shared" si="77"/>
        <v>-8.0892311719768961E-2</v>
      </c>
      <c r="DI62" s="48">
        <f t="shared" si="77"/>
        <v>9.7289870542374146E-3</v>
      </c>
      <c r="DJ62" s="48">
        <f t="shared" si="77"/>
        <v>2.3051662185997746E-3</v>
      </c>
      <c r="DK62" s="48">
        <f t="shared" si="77"/>
        <v>2.1369283550269902E-2</v>
      </c>
      <c r="DL62" s="48">
        <f t="shared" si="77"/>
        <v>2.9433077102675398E-2</v>
      </c>
      <c r="DM62" s="48">
        <f t="shared" si="77"/>
        <v>8.3154702606073938E-2</v>
      </c>
      <c r="DN62" s="48">
        <f t="shared" si="77"/>
        <v>4.5369650099630787E-2</v>
      </c>
      <c r="DO62" s="48">
        <f t="shared" si="77"/>
        <v>3.4282239036810713E-2</v>
      </c>
      <c r="DP62" s="48" t="str">
        <f t="shared" si="77"/>
        <v/>
      </c>
      <c r="DQ62" s="48" t="str">
        <f t="shared" si="77"/>
        <v/>
      </c>
      <c r="DR62" s="48" t="str">
        <f t="shared" si="77"/>
        <v/>
      </c>
      <c r="DS62" s="48" t="str">
        <f t="shared" si="77"/>
        <v/>
      </c>
      <c r="DT62" s="48" t="str">
        <f t="shared" si="77"/>
        <v/>
      </c>
      <c r="DU62" s="48" t="str">
        <f t="shared" si="77"/>
        <v/>
      </c>
      <c r="DV62" s="48" t="str">
        <f t="shared" si="77"/>
        <v/>
      </c>
      <c r="DW62" s="48" t="str">
        <f t="shared" si="77"/>
        <v/>
      </c>
      <c r="DX62" s="48" t="str">
        <f t="shared" si="77"/>
        <v/>
      </c>
      <c r="DY62" s="48" t="str">
        <f t="shared" si="77"/>
        <v/>
      </c>
      <c r="DZ62" s="48" t="str">
        <f t="shared" si="77"/>
        <v/>
      </c>
      <c r="EA62" s="48" t="str">
        <f t="shared" si="77"/>
        <v/>
      </c>
      <c r="EB62" s="48" t="str">
        <f t="shared" si="77"/>
        <v/>
      </c>
      <c r="EC62" s="48" t="str">
        <f t="shared" si="77"/>
        <v/>
      </c>
      <c r="ED62" s="48" t="str">
        <f t="shared" si="77"/>
        <v/>
      </c>
      <c r="EE62" s="48" t="str">
        <f t="shared" si="77"/>
        <v/>
      </c>
      <c r="EF62" s="48" t="str">
        <f t="shared" ref="EF62:EL62" si="78">IF(EF20="","",IF(ISERROR(EF20/EE20-1),"",EF20/EE20-1))</f>
        <v/>
      </c>
      <c r="EG62" s="48" t="str">
        <f t="shared" si="78"/>
        <v/>
      </c>
      <c r="EH62" s="48" t="str">
        <f t="shared" si="78"/>
        <v/>
      </c>
      <c r="EI62" s="48" t="str">
        <f t="shared" si="78"/>
        <v/>
      </c>
      <c r="EJ62" s="48" t="str">
        <f t="shared" si="78"/>
        <v/>
      </c>
      <c r="EK62" s="48" t="str">
        <f t="shared" si="78"/>
        <v/>
      </c>
      <c r="EL62" s="48" t="str">
        <f t="shared" si="78"/>
        <v/>
      </c>
    </row>
    <row r="63" spans="2:142" x14ac:dyDescent="0.25">
      <c r="B63" s="22">
        <f t="shared" si="18"/>
        <v>13</v>
      </c>
      <c r="C63" s="23" t="str">
        <f t="shared" si="18"/>
        <v>PERA</v>
      </c>
      <c r="D63" s="24">
        <f t="shared" si="18"/>
        <v>3.0009999999999998E-4</v>
      </c>
      <c r="E63" s="24">
        <f t="shared" si="18"/>
        <v>2.4349674634470899E-3</v>
      </c>
      <c r="G63" s="48"/>
      <c r="H63" s="48" t="str">
        <f t="shared" ref="H63:AM63" si="79">IF(H21="","",IF(ISERROR(H21/G21-1),"",H21/G21-1))</f>
        <v/>
      </c>
      <c r="I63" s="48" t="str">
        <f t="shared" si="79"/>
        <v/>
      </c>
      <c r="J63" s="48">
        <f t="shared" si="79"/>
        <v>0.11862298342479116</v>
      </c>
      <c r="K63" s="48">
        <f t="shared" si="79"/>
        <v>-0.15805843774325024</v>
      </c>
      <c r="L63" s="48">
        <f t="shared" si="79"/>
        <v>0.27710556999120195</v>
      </c>
      <c r="M63" s="48">
        <f t="shared" si="79"/>
        <v>-0.11870894387185504</v>
      </c>
      <c r="N63" s="48">
        <f t="shared" si="79"/>
        <v>7.9464845049309618E-2</v>
      </c>
      <c r="O63" s="48">
        <f t="shared" si="79"/>
        <v>6.3476104502796282E-2</v>
      </c>
      <c r="P63" s="48">
        <f t="shared" si="79"/>
        <v>9.2345942631152589E-2</v>
      </c>
      <c r="Q63" s="48">
        <f t="shared" si="79"/>
        <v>0.10323728733201176</v>
      </c>
      <c r="R63" s="48" t="str">
        <f t="shared" si="79"/>
        <v/>
      </c>
      <c r="S63" s="48" t="str">
        <f t="shared" si="79"/>
        <v/>
      </c>
      <c r="T63" s="48" t="str">
        <f t="shared" si="79"/>
        <v/>
      </c>
      <c r="U63" s="48">
        <f t="shared" si="79"/>
        <v>9.9187211356228211E-2</v>
      </c>
      <c r="V63" s="48">
        <f t="shared" si="79"/>
        <v>-0.12538130979800022</v>
      </c>
      <c r="W63" s="48">
        <f t="shared" si="79"/>
        <v>3.1610100574321454E-2</v>
      </c>
      <c r="X63" s="48">
        <f t="shared" si="79"/>
        <v>1.7624737887637743E-2</v>
      </c>
      <c r="Y63" s="48">
        <f t="shared" si="79"/>
        <v>5.7500746971828942E-2</v>
      </c>
      <c r="Z63" s="48">
        <f t="shared" si="79"/>
        <v>-2.8468752243562268E-2</v>
      </c>
      <c r="AA63" s="48">
        <f t="shared" si="79"/>
        <v>0.13202361814089314</v>
      </c>
      <c r="AB63" s="48">
        <f t="shared" si="79"/>
        <v>0.27580873178192911</v>
      </c>
      <c r="AC63" s="48">
        <f t="shared" si="79"/>
        <v>0.14665786902796629</v>
      </c>
      <c r="AD63" s="48" t="str">
        <f t="shared" si="79"/>
        <v/>
      </c>
      <c r="AE63" s="48" t="str">
        <f t="shared" si="79"/>
        <v/>
      </c>
      <c r="AF63" s="48" t="str">
        <f t="shared" si="79"/>
        <v/>
      </c>
      <c r="AG63" s="48" t="str">
        <f t="shared" si="79"/>
        <v/>
      </c>
      <c r="AH63" s="48" t="str">
        <f t="shared" si="79"/>
        <v/>
      </c>
      <c r="AI63" s="48">
        <f t="shared" si="79"/>
        <v>-9.5849332216592864E-2</v>
      </c>
      <c r="AJ63" s="48">
        <f t="shared" si="79"/>
        <v>4.0289742263278416E-2</v>
      </c>
      <c r="AK63" s="48">
        <f t="shared" si="79"/>
        <v>1.6590219229073222E-2</v>
      </c>
      <c r="AL63" s="48">
        <f t="shared" si="79"/>
        <v>9.0372483380750435E-2</v>
      </c>
      <c r="AM63" s="48">
        <f t="shared" si="79"/>
        <v>2.6819055828668503E-2</v>
      </c>
      <c r="AN63" s="48">
        <f t="shared" ref="AN63:BS63" si="80">IF(AN21="","",IF(ISERROR(AN21/AM21-1),"",AN21/AM21-1))</f>
        <v>1.7294558102947555E-2</v>
      </c>
      <c r="AO63" s="48">
        <f t="shared" si="80"/>
        <v>-1.5707498049649549E-2</v>
      </c>
      <c r="AP63" s="48">
        <f t="shared" si="80"/>
        <v>0.10024899176392466</v>
      </c>
      <c r="AQ63" s="48" t="str">
        <f t="shared" si="80"/>
        <v/>
      </c>
      <c r="AR63" s="48" t="str">
        <f t="shared" si="80"/>
        <v/>
      </c>
      <c r="AS63" s="48" t="str">
        <f t="shared" si="80"/>
        <v/>
      </c>
      <c r="AT63" s="48">
        <f t="shared" si="80"/>
        <v>0.10462677625668304</v>
      </c>
      <c r="AU63" s="48">
        <f t="shared" si="80"/>
        <v>-2.0445043464264234E-2</v>
      </c>
      <c r="AV63" s="48">
        <f t="shared" si="80"/>
        <v>1.2673210267010848E-2</v>
      </c>
      <c r="AW63" s="48">
        <f t="shared" si="80"/>
        <v>2.4922684739379308E-2</v>
      </c>
      <c r="AX63" s="48">
        <f t="shared" si="80"/>
        <v>3.7647173560907188E-2</v>
      </c>
      <c r="AY63" s="48">
        <f t="shared" si="80"/>
        <v>0.1391006203467422</v>
      </c>
      <c r="AZ63" s="48">
        <f t="shared" si="80"/>
        <v>0.17041863897731591</v>
      </c>
      <c r="BA63" s="48">
        <f t="shared" si="80"/>
        <v>0.11707920642747416</v>
      </c>
      <c r="BB63" s="48" t="str">
        <f t="shared" si="80"/>
        <v/>
      </c>
      <c r="BC63" s="48" t="str">
        <f t="shared" si="80"/>
        <v/>
      </c>
      <c r="BD63" s="48" t="str">
        <f t="shared" si="80"/>
        <v/>
      </c>
      <c r="BE63" s="48" t="str">
        <f t="shared" si="80"/>
        <v/>
      </c>
      <c r="BF63" s="48">
        <f t="shared" si="80"/>
        <v>1.0240789348178181E-2</v>
      </c>
      <c r="BG63" s="48">
        <f t="shared" si="80"/>
        <v>-9.9612756205914033E-2</v>
      </c>
      <c r="BH63" s="48">
        <f t="shared" si="80"/>
        <v>5.9354777259085667E-2</v>
      </c>
      <c r="BI63" s="48">
        <f t="shared" si="80"/>
        <v>1.9336757902849389E-2</v>
      </c>
      <c r="BJ63" s="48">
        <f t="shared" si="80"/>
        <v>1.9936190781579377E-2</v>
      </c>
      <c r="BK63" s="48">
        <f t="shared" si="80"/>
        <v>0.19264380083421062</v>
      </c>
      <c r="BL63" s="48">
        <f t="shared" si="80"/>
        <v>5.4663904492627369E-2</v>
      </c>
      <c r="BM63" s="48">
        <f t="shared" si="80"/>
        <v>4.5424670588664728E-2</v>
      </c>
      <c r="BN63" s="48" t="str">
        <f t="shared" si="80"/>
        <v/>
      </c>
      <c r="BO63" s="48" t="str">
        <f t="shared" si="80"/>
        <v/>
      </c>
      <c r="BP63" s="48" t="str">
        <f t="shared" si="80"/>
        <v/>
      </c>
      <c r="BQ63" s="48" t="str">
        <f t="shared" si="80"/>
        <v/>
      </c>
      <c r="BR63" s="48">
        <f t="shared" si="80"/>
        <v>-2.3419098198806831E-2</v>
      </c>
      <c r="BS63" s="48">
        <f t="shared" si="80"/>
        <v>2.0411395432371471E-3</v>
      </c>
      <c r="BT63" s="48">
        <f t="shared" ref="BT63:CY63" si="81">IF(BT21="","",IF(ISERROR(BT21/BS21-1),"",BT21/BS21-1))</f>
        <v>-1.1132844185099966E-3</v>
      </c>
      <c r="BU63" s="48">
        <f t="shared" si="81"/>
        <v>3.7232844512432361E-2</v>
      </c>
      <c r="BV63" s="48">
        <f t="shared" si="81"/>
        <v>1.2394410874285056E-2</v>
      </c>
      <c r="BW63" s="48">
        <f t="shared" si="81"/>
        <v>3.9509801004174783E-2</v>
      </c>
      <c r="BX63" s="48">
        <f t="shared" si="81"/>
        <v>4.4710899104405399E-3</v>
      </c>
      <c r="BY63" s="48">
        <f t="shared" si="81"/>
        <v>9.2794963208163939E-2</v>
      </c>
      <c r="BZ63" s="48">
        <f t="shared" si="81"/>
        <v>2.1519434835778783E-2</v>
      </c>
      <c r="CA63" s="48">
        <f t="shared" si="81"/>
        <v>4.3872926944019452E-2</v>
      </c>
      <c r="CB63" s="48">
        <f t="shared" si="81"/>
        <v>-7.9618440226208675E-2</v>
      </c>
      <c r="CC63" s="48">
        <f t="shared" si="81"/>
        <v>-0.12472724517307532</v>
      </c>
      <c r="CD63" s="48">
        <f t="shared" si="81"/>
        <v>4.9402795268549404E-4</v>
      </c>
      <c r="CE63" s="48">
        <f t="shared" si="81"/>
        <v>-5.8016467069433864E-2</v>
      </c>
      <c r="CF63" s="48">
        <f t="shared" si="81"/>
        <v>5.6310753931813951E-2</v>
      </c>
      <c r="CG63" s="48">
        <f t="shared" si="81"/>
        <v>2.1216157362687449E-2</v>
      </c>
      <c r="CH63" s="48">
        <f t="shared" si="81"/>
        <v>4.0624557230955372E-2</v>
      </c>
      <c r="CI63" s="48">
        <f t="shared" si="81"/>
        <v>4.6777140059051092E-2</v>
      </c>
      <c r="CJ63" s="48">
        <f t="shared" si="81"/>
        <v>9.0450408486777656E-2</v>
      </c>
      <c r="CK63" s="48">
        <f t="shared" si="81"/>
        <v>4.846450070569186E-2</v>
      </c>
      <c r="CL63" s="48">
        <f t="shared" si="81"/>
        <v>0.36802867485392499</v>
      </c>
      <c r="CM63" s="48" t="str">
        <f t="shared" si="81"/>
        <v/>
      </c>
      <c r="CN63" s="48" t="str">
        <f t="shared" si="81"/>
        <v/>
      </c>
      <c r="CO63" s="48" t="str">
        <f t="shared" si="81"/>
        <v/>
      </c>
      <c r="CP63" s="48">
        <f t="shared" si="81"/>
        <v>-5.3392031768950465E-2</v>
      </c>
      <c r="CQ63" s="48">
        <f t="shared" si="81"/>
        <v>-5.9824725753496177E-2</v>
      </c>
      <c r="CR63" s="48">
        <f t="shared" si="81"/>
        <v>-1.8883678478596955E-2</v>
      </c>
      <c r="CS63" s="48">
        <f t="shared" si="81"/>
        <v>-7.7082397060512786E-4</v>
      </c>
      <c r="CT63" s="48">
        <f t="shared" si="81"/>
        <v>3.7464069686790058E-2</v>
      </c>
      <c r="CU63" s="48">
        <f t="shared" si="81"/>
        <v>2.7603159167996827E-2</v>
      </c>
      <c r="CV63" s="48">
        <f t="shared" si="81"/>
        <v>8.1724152501009284E-2</v>
      </c>
      <c r="CW63" s="48">
        <f t="shared" si="81"/>
        <v>3.2689319619052082E-2</v>
      </c>
      <c r="CX63" s="48">
        <f t="shared" si="81"/>
        <v>6.6170106420602837E-2</v>
      </c>
      <c r="CY63" s="48">
        <f t="shared" si="81"/>
        <v>4.6683117591038936E-2</v>
      </c>
      <c r="CZ63" s="48" t="str">
        <f t="shared" ref="CZ63:EE63" si="82">IF(CZ21="","",IF(ISERROR(CZ21/CY21-1),"",CZ21/CY21-1))</f>
        <v/>
      </c>
      <c r="DA63" s="48" t="str">
        <f t="shared" si="82"/>
        <v/>
      </c>
      <c r="DB63" s="48">
        <f t="shared" si="82"/>
        <v>-3.6789835927005687E-2</v>
      </c>
      <c r="DC63" s="48">
        <f t="shared" si="82"/>
        <v>-5.1528136457474116E-2</v>
      </c>
      <c r="DD63" s="48">
        <f t="shared" si="82"/>
        <v>1.3959166006234813E-2</v>
      </c>
      <c r="DE63" s="48">
        <f t="shared" si="82"/>
        <v>-4.4262587161071343E-2</v>
      </c>
      <c r="DF63" s="48">
        <f t="shared" si="82"/>
        <v>3.6034473634093178E-2</v>
      </c>
      <c r="DG63" s="48">
        <f t="shared" si="82"/>
        <v>7.0396981884560672E-2</v>
      </c>
      <c r="DH63" s="48">
        <f t="shared" si="82"/>
        <v>7.0936523573997157E-2</v>
      </c>
      <c r="DI63" s="48">
        <f t="shared" si="82"/>
        <v>2.6953100904704153E-2</v>
      </c>
      <c r="DJ63" s="48" t="str">
        <f t="shared" si="82"/>
        <v/>
      </c>
      <c r="DK63" s="48" t="str">
        <f t="shared" si="82"/>
        <v/>
      </c>
      <c r="DL63" s="48" t="str">
        <f t="shared" si="82"/>
        <v/>
      </c>
      <c r="DM63" s="48">
        <f t="shared" si="82"/>
        <v>-7.0668825157522153E-2</v>
      </c>
      <c r="DN63" s="48">
        <f t="shared" si="82"/>
        <v>-3.9482226533096187E-2</v>
      </c>
      <c r="DO63" s="48">
        <f t="shared" si="82"/>
        <v>2.5614227135970946E-2</v>
      </c>
      <c r="DP63" s="48" t="str">
        <f t="shared" si="82"/>
        <v/>
      </c>
      <c r="DQ63" s="48" t="str">
        <f t="shared" si="82"/>
        <v/>
      </c>
      <c r="DR63" s="48" t="str">
        <f t="shared" si="82"/>
        <v/>
      </c>
      <c r="DS63" s="48" t="str">
        <f t="shared" si="82"/>
        <v/>
      </c>
      <c r="DT63" s="48" t="str">
        <f t="shared" si="82"/>
        <v/>
      </c>
      <c r="DU63" s="48" t="str">
        <f t="shared" si="82"/>
        <v/>
      </c>
      <c r="DV63" s="48" t="str">
        <f t="shared" si="82"/>
        <v/>
      </c>
      <c r="DW63" s="48" t="str">
        <f t="shared" si="82"/>
        <v/>
      </c>
      <c r="DX63" s="48" t="str">
        <f t="shared" si="82"/>
        <v/>
      </c>
      <c r="DY63" s="48" t="str">
        <f t="shared" si="82"/>
        <v/>
      </c>
      <c r="DZ63" s="48" t="str">
        <f t="shared" si="82"/>
        <v/>
      </c>
      <c r="EA63" s="48" t="str">
        <f t="shared" si="82"/>
        <v/>
      </c>
      <c r="EB63" s="48" t="str">
        <f t="shared" si="82"/>
        <v/>
      </c>
      <c r="EC63" s="48" t="str">
        <f t="shared" si="82"/>
        <v/>
      </c>
      <c r="ED63" s="48" t="str">
        <f t="shared" si="82"/>
        <v/>
      </c>
      <c r="EE63" s="48" t="str">
        <f t="shared" si="82"/>
        <v/>
      </c>
      <c r="EF63" s="48" t="str">
        <f t="shared" ref="EF63:EL63" si="83">IF(EF21="","",IF(ISERROR(EF21/EE21-1),"",EF21/EE21-1))</f>
        <v/>
      </c>
      <c r="EG63" s="48" t="str">
        <f t="shared" si="83"/>
        <v/>
      </c>
      <c r="EH63" s="48" t="str">
        <f t="shared" si="83"/>
        <v/>
      </c>
      <c r="EI63" s="48" t="str">
        <f t="shared" si="83"/>
        <v/>
      </c>
      <c r="EJ63" s="48" t="str">
        <f t="shared" si="83"/>
        <v/>
      </c>
      <c r="EK63" s="48" t="str">
        <f t="shared" si="83"/>
        <v/>
      </c>
      <c r="EL63" s="48" t="str">
        <f t="shared" si="83"/>
        <v/>
      </c>
    </row>
    <row r="64" spans="2:142" x14ac:dyDescent="0.25">
      <c r="B64" s="22">
        <f t="shared" si="18"/>
        <v>14</v>
      </c>
      <c r="C64" s="23" t="str">
        <f t="shared" si="18"/>
        <v>PLÁTANO</v>
      </c>
      <c r="D64" s="24">
        <f t="shared" si="18"/>
        <v>1.2176000000000001E-3</v>
      </c>
      <c r="E64" s="24">
        <f t="shared" si="18"/>
        <v>9.8794281355987241E-3</v>
      </c>
      <c r="G64" s="48"/>
      <c r="H64" s="48" t="str">
        <f t="shared" ref="H64:AM64" si="84">IF(H22="","",IF(ISERROR(H22/G22-1),"",H22/G22-1))</f>
        <v/>
      </c>
      <c r="I64" s="48" t="str">
        <f t="shared" si="84"/>
        <v/>
      </c>
      <c r="J64" s="48">
        <f t="shared" si="84"/>
        <v>-3.7934368334085811E-2</v>
      </c>
      <c r="K64" s="48">
        <f t="shared" si="84"/>
        <v>4.0461316874200737E-3</v>
      </c>
      <c r="L64" s="48">
        <f t="shared" si="84"/>
        <v>0.174942046286932</v>
      </c>
      <c r="M64" s="48">
        <f t="shared" si="84"/>
        <v>-0.14299919698562102</v>
      </c>
      <c r="N64" s="48">
        <f t="shared" si="84"/>
        <v>5.909241833882195E-2</v>
      </c>
      <c r="O64" s="48">
        <f t="shared" si="84"/>
        <v>7.9610730403072427E-2</v>
      </c>
      <c r="P64" s="48">
        <f t="shared" si="84"/>
        <v>0.22172774985342913</v>
      </c>
      <c r="Q64" s="48">
        <f t="shared" si="84"/>
        <v>-6.0936719670342532E-3</v>
      </c>
      <c r="R64" s="48">
        <f t="shared" si="84"/>
        <v>-4.0349137318043904E-2</v>
      </c>
      <c r="S64" s="48">
        <f t="shared" si="84"/>
        <v>-1.4253601812952432E-2</v>
      </c>
      <c r="T64" s="48">
        <f t="shared" si="84"/>
        <v>-5.3130420414271295E-4</v>
      </c>
      <c r="U64" s="48">
        <f t="shared" si="84"/>
        <v>-7.7442502396188106E-2</v>
      </c>
      <c r="V64" s="48">
        <f t="shared" si="84"/>
        <v>-2.4681956780735259E-2</v>
      </c>
      <c r="W64" s="48">
        <f t="shared" si="84"/>
        <v>-1.2209576726979865E-2</v>
      </c>
      <c r="X64" s="48">
        <f t="shared" si="84"/>
        <v>0.13489124782969042</v>
      </c>
      <c r="Y64" s="48">
        <f t="shared" si="84"/>
        <v>2.5695770382818894E-2</v>
      </c>
      <c r="Z64" s="48">
        <f t="shared" si="84"/>
        <v>-9.1336883207006503E-2</v>
      </c>
      <c r="AA64" s="48">
        <f t="shared" si="84"/>
        <v>8.1291630914255286E-3</v>
      </c>
      <c r="AB64" s="48">
        <f t="shared" si="84"/>
        <v>3.1923794775212677E-2</v>
      </c>
      <c r="AC64" s="48">
        <f t="shared" si="84"/>
        <v>7.9894116157291695E-2</v>
      </c>
      <c r="AD64" s="48">
        <f t="shared" si="84"/>
        <v>-4.4803784774523958E-2</v>
      </c>
      <c r="AE64" s="48">
        <f t="shared" si="84"/>
        <v>-6.4818121806264006E-2</v>
      </c>
      <c r="AF64" s="48">
        <f t="shared" si="84"/>
        <v>-6.4416200803740775E-4</v>
      </c>
      <c r="AG64" s="48">
        <f t="shared" si="84"/>
        <v>0.1588710997757552</v>
      </c>
      <c r="AH64" s="48">
        <f t="shared" si="84"/>
        <v>-0.13747835593240643</v>
      </c>
      <c r="AI64" s="48">
        <f t="shared" si="84"/>
        <v>-1.0653229526349395E-2</v>
      </c>
      <c r="AJ64" s="48">
        <f t="shared" si="84"/>
        <v>-2.213969949843364E-2</v>
      </c>
      <c r="AK64" s="48">
        <f t="shared" si="84"/>
        <v>1.1523399174697468E-2</v>
      </c>
      <c r="AL64" s="48">
        <f t="shared" si="84"/>
        <v>7.1778083321222486E-2</v>
      </c>
      <c r="AM64" s="48">
        <f t="shared" si="84"/>
        <v>1.7904193908544475E-3</v>
      </c>
      <c r="AN64" s="48">
        <f t="shared" ref="AN64:BS64" si="85">IF(AN22="","",IF(ISERROR(AN22/AM22-1),"",AN22/AM22-1))</f>
        <v>1.6608978575617828E-2</v>
      </c>
      <c r="AO64" s="48">
        <f t="shared" si="85"/>
        <v>3.1052927333123037E-2</v>
      </c>
      <c r="AP64" s="48">
        <f t="shared" si="85"/>
        <v>3.8514717445216284E-2</v>
      </c>
      <c r="AQ64" s="48">
        <f t="shared" si="85"/>
        <v>3.0420367905803047E-2</v>
      </c>
      <c r="AR64" s="48">
        <f t="shared" si="85"/>
        <v>-0.1062329615306381</v>
      </c>
      <c r="AS64" s="48">
        <f t="shared" si="85"/>
        <v>4.9644506877765338E-2</v>
      </c>
      <c r="AT64" s="48">
        <f t="shared" si="85"/>
        <v>-3.7424199701052929E-2</v>
      </c>
      <c r="AU64" s="48">
        <f t="shared" si="85"/>
        <v>2.1857089823089648E-2</v>
      </c>
      <c r="AV64" s="48">
        <f t="shared" si="85"/>
        <v>-3.4921555065799081E-2</v>
      </c>
      <c r="AW64" s="48">
        <f t="shared" si="85"/>
        <v>3.0050787259159328E-2</v>
      </c>
      <c r="AX64" s="48">
        <f t="shared" si="85"/>
        <v>-4.3931935216955043E-2</v>
      </c>
      <c r="AY64" s="48">
        <f t="shared" si="85"/>
        <v>4.4552191126187468E-2</v>
      </c>
      <c r="AZ64" s="48">
        <f t="shared" si="85"/>
        <v>3.3338731195469151E-2</v>
      </c>
      <c r="BA64" s="48">
        <f t="shared" si="85"/>
        <v>-3.6535957181272782E-2</v>
      </c>
      <c r="BB64" s="48">
        <f t="shared" si="85"/>
        <v>-3.7703469634542186E-2</v>
      </c>
      <c r="BC64" s="48">
        <f t="shared" si="85"/>
        <v>5.9844158651283896E-2</v>
      </c>
      <c r="BD64" s="48">
        <f t="shared" si="85"/>
        <v>1.7011342880945968E-4</v>
      </c>
      <c r="BE64" s="48">
        <f t="shared" si="85"/>
        <v>-3.0897451453716362E-3</v>
      </c>
      <c r="BF64" s="48">
        <f t="shared" si="85"/>
        <v>-8.0488497212899524E-2</v>
      </c>
      <c r="BG64" s="48">
        <f t="shared" si="85"/>
        <v>-9.2940233556405349E-2</v>
      </c>
      <c r="BH64" s="48">
        <f t="shared" si="85"/>
        <v>7.1643009254930723E-2</v>
      </c>
      <c r="BI64" s="48">
        <f t="shared" si="85"/>
        <v>3.1837669047003692E-2</v>
      </c>
      <c r="BJ64" s="48">
        <f t="shared" si="85"/>
        <v>-6.8272930976724266E-2</v>
      </c>
      <c r="BK64" s="48">
        <f t="shared" si="85"/>
        <v>0.14678363527469696</v>
      </c>
      <c r="BL64" s="48">
        <f t="shared" si="85"/>
        <v>7.4443582243981954E-2</v>
      </c>
      <c r="BM64" s="48">
        <f t="shared" si="85"/>
        <v>-7.1995099280339869E-2</v>
      </c>
      <c r="BN64" s="48">
        <f t="shared" si="85"/>
        <v>-2.2837595923932419E-2</v>
      </c>
      <c r="BO64" s="48">
        <f t="shared" si="85"/>
        <v>6.6226747668565622E-2</v>
      </c>
      <c r="BP64" s="48">
        <f t="shared" si="85"/>
        <v>5.4741405495194684E-2</v>
      </c>
      <c r="BQ64" s="48">
        <f t="shared" si="85"/>
        <v>7.3542459920764358E-2</v>
      </c>
      <c r="BR64" s="48">
        <f t="shared" si="85"/>
        <v>4.5537880733520275E-2</v>
      </c>
      <c r="BS64" s="48">
        <f t="shared" si="85"/>
        <v>-0.20448824103094987</v>
      </c>
      <c r="BT64" s="48">
        <f t="shared" ref="BT64:CY64" si="86">IF(BT22="","",IF(ISERROR(BT22/BS22-1),"",BT22/BS22-1))</f>
        <v>7.0672303996977881E-2</v>
      </c>
      <c r="BU64" s="48">
        <f t="shared" si="86"/>
        <v>8.9500165716473123E-2</v>
      </c>
      <c r="BV64" s="48">
        <f t="shared" si="86"/>
        <v>-6.6122870137349299E-2</v>
      </c>
      <c r="BW64" s="48">
        <f t="shared" si="86"/>
        <v>1.2296181473146373E-2</v>
      </c>
      <c r="BX64" s="48">
        <f t="shared" si="86"/>
        <v>-2.2680699473845656E-2</v>
      </c>
      <c r="BY64" s="48">
        <f t="shared" si="86"/>
        <v>7.583784420660078E-2</v>
      </c>
      <c r="BZ64" s="48">
        <f t="shared" si="86"/>
        <v>7.6985796036019849E-2</v>
      </c>
      <c r="CA64" s="48">
        <f t="shared" si="86"/>
        <v>-3.0789842884394125E-2</v>
      </c>
      <c r="CB64" s="48">
        <f t="shared" si="86"/>
        <v>-4.9864650054677662E-2</v>
      </c>
      <c r="CC64" s="48">
        <f t="shared" si="86"/>
        <v>0.12390647414721601</v>
      </c>
      <c r="CD64" s="48">
        <f t="shared" si="86"/>
        <v>-3.0308872946718579E-2</v>
      </c>
      <c r="CE64" s="48">
        <f t="shared" si="86"/>
        <v>-6.4677137710642207E-2</v>
      </c>
      <c r="CF64" s="48">
        <f t="shared" si="86"/>
        <v>2.0072359144076346E-2</v>
      </c>
      <c r="CG64" s="48">
        <f t="shared" si="86"/>
        <v>4.0830268806355541E-3</v>
      </c>
      <c r="CH64" s="48">
        <f t="shared" si="86"/>
        <v>3.8248214663208824E-2</v>
      </c>
      <c r="CI64" s="48">
        <f t="shared" si="86"/>
        <v>7.2120244355569962E-2</v>
      </c>
      <c r="CJ64" s="48">
        <f t="shared" si="86"/>
        <v>0.10693091403188015</v>
      </c>
      <c r="CK64" s="48">
        <f t="shared" si="86"/>
        <v>2.1126129094497514E-2</v>
      </c>
      <c r="CL64" s="48">
        <f t="shared" si="86"/>
        <v>-0.10952327471343948</v>
      </c>
      <c r="CM64" s="48">
        <f t="shared" si="86"/>
        <v>1.6398143781495289E-3</v>
      </c>
      <c r="CN64" s="48">
        <f t="shared" si="86"/>
        <v>5.0099648510826267E-3</v>
      </c>
      <c r="CO64" s="48">
        <f t="shared" si="86"/>
        <v>8.1578681956545607E-2</v>
      </c>
      <c r="CP64" s="48">
        <f t="shared" si="86"/>
        <v>-4.1113709298665091E-2</v>
      </c>
      <c r="CQ64" s="48">
        <f t="shared" si="86"/>
        <v>-2.3989905656015553E-2</v>
      </c>
      <c r="CR64" s="48">
        <f t="shared" si="86"/>
        <v>-5.1586798855190907E-2</v>
      </c>
      <c r="CS64" s="48">
        <f t="shared" si="86"/>
        <v>3.1875537485601679E-2</v>
      </c>
      <c r="CT64" s="48">
        <f t="shared" si="86"/>
        <v>0.12195650781448375</v>
      </c>
      <c r="CU64" s="48">
        <f t="shared" si="86"/>
        <v>-8.3641117690385069E-2</v>
      </c>
      <c r="CV64" s="48">
        <f t="shared" si="86"/>
        <v>7.8852661133928192E-2</v>
      </c>
      <c r="CW64" s="48">
        <f t="shared" si="86"/>
        <v>5.506828310121259E-2</v>
      </c>
      <c r="CX64" s="48">
        <f t="shared" si="86"/>
        <v>-8.103852966597036E-2</v>
      </c>
      <c r="CY64" s="48">
        <f t="shared" si="86"/>
        <v>4.7317123402103478E-2</v>
      </c>
      <c r="CZ64" s="48">
        <f t="shared" ref="CZ64:EE64" si="87">IF(CZ22="","",IF(ISERROR(CZ22/CY22-1),"",CZ22/CY22-1))</f>
        <v>2.5077368704885084E-2</v>
      </c>
      <c r="DA64" s="48">
        <f t="shared" si="87"/>
        <v>-7.6083400527201528E-3</v>
      </c>
      <c r="DB64" s="48">
        <f t="shared" si="87"/>
        <v>-9.893399204251585E-4</v>
      </c>
      <c r="DC64" s="48">
        <f t="shared" si="87"/>
        <v>-4.23214744643301E-2</v>
      </c>
      <c r="DD64" s="48">
        <f t="shared" si="87"/>
        <v>7.5166307504311192E-2</v>
      </c>
      <c r="DE64" s="48">
        <f t="shared" si="87"/>
        <v>-5.2275982748687611E-2</v>
      </c>
      <c r="DF64" s="48">
        <f t="shared" si="87"/>
        <v>7.6736711947409386E-3</v>
      </c>
      <c r="DG64" s="48">
        <f t="shared" si="87"/>
        <v>7.6218376469224802E-2</v>
      </c>
      <c r="DH64" s="48">
        <f t="shared" si="87"/>
        <v>-5.8137592469619803E-2</v>
      </c>
      <c r="DI64" s="48">
        <f t="shared" si="87"/>
        <v>1.6076355411503762E-2</v>
      </c>
      <c r="DJ64" s="48">
        <f t="shared" si="87"/>
        <v>-4.1379381714258368E-2</v>
      </c>
      <c r="DK64" s="48">
        <f t="shared" si="87"/>
        <v>8.3205152310172892E-3</v>
      </c>
      <c r="DL64" s="48">
        <f t="shared" si="87"/>
        <v>-1.3217962422134466E-2</v>
      </c>
      <c r="DM64" s="48">
        <f t="shared" si="87"/>
        <v>6.7721596678523621E-2</v>
      </c>
      <c r="DN64" s="48">
        <f t="shared" si="87"/>
        <v>-2.3936611327141311E-2</v>
      </c>
      <c r="DO64" s="48">
        <f t="shared" si="87"/>
        <v>-4.0612017262619649E-2</v>
      </c>
      <c r="DP64" s="48" t="str">
        <f t="shared" si="87"/>
        <v/>
      </c>
      <c r="DQ64" s="48" t="str">
        <f t="shared" si="87"/>
        <v/>
      </c>
      <c r="DR64" s="48" t="str">
        <f t="shared" si="87"/>
        <v/>
      </c>
      <c r="DS64" s="48" t="str">
        <f t="shared" si="87"/>
        <v/>
      </c>
      <c r="DT64" s="48" t="str">
        <f t="shared" si="87"/>
        <v/>
      </c>
      <c r="DU64" s="48" t="str">
        <f t="shared" si="87"/>
        <v/>
      </c>
      <c r="DV64" s="48" t="str">
        <f t="shared" si="87"/>
        <v/>
      </c>
      <c r="DW64" s="48" t="str">
        <f t="shared" si="87"/>
        <v/>
      </c>
      <c r="DX64" s="48" t="str">
        <f t="shared" si="87"/>
        <v/>
      </c>
      <c r="DY64" s="48" t="str">
        <f t="shared" si="87"/>
        <v/>
      </c>
      <c r="DZ64" s="48" t="str">
        <f t="shared" si="87"/>
        <v/>
      </c>
      <c r="EA64" s="48" t="str">
        <f t="shared" si="87"/>
        <v/>
      </c>
      <c r="EB64" s="48" t="str">
        <f t="shared" si="87"/>
        <v/>
      </c>
      <c r="EC64" s="48" t="str">
        <f t="shared" si="87"/>
        <v/>
      </c>
      <c r="ED64" s="48" t="str">
        <f t="shared" si="87"/>
        <v/>
      </c>
      <c r="EE64" s="48" t="str">
        <f t="shared" si="87"/>
        <v/>
      </c>
      <c r="EF64" s="48" t="str">
        <f t="shared" ref="EF64:EL64" si="88">IF(EF22="","",IF(ISERROR(EF22/EE22-1),"",EF22/EE22-1))</f>
        <v/>
      </c>
      <c r="EG64" s="48" t="str">
        <f t="shared" si="88"/>
        <v/>
      </c>
      <c r="EH64" s="48" t="str">
        <f t="shared" si="88"/>
        <v/>
      </c>
      <c r="EI64" s="48" t="str">
        <f t="shared" si="88"/>
        <v/>
      </c>
      <c r="EJ64" s="48" t="str">
        <f t="shared" si="88"/>
        <v/>
      </c>
      <c r="EK64" s="48" t="str">
        <f t="shared" si="88"/>
        <v/>
      </c>
      <c r="EL64" s="48" t="str">
        <f t="shared" si="88"/>
        <v/>
      </c>
    </row>
    <row r="65" spans="2:142" x14ac:dyDescent="0.25">
      <c r="B65" s="26">
        <f t="shared" si="18"/>
        <v>15</v>
      </c>
      <c r="C65" s="27" t="str">
        <f t="shared" si="18"/>
        <v>HARINA</v>
      </c>
      <c r="D65" s="24">
        <f t="shared" si="18"/>
        <v>9.7079999999999996E-4</v>
      </c>
      <c r="E65" s="24">
        <f t="shared" si="18"/>
        <v>7.876929068691885E-3</v>
      </c>
      <c r="G65" s="49"/>
      <c r="H65" s="49" t="str">
        <f t="shared" ref="H65:AM65" si="89">IF(H23="","",IF(ISERROR(H23/G23-1),"",H23/G23-1))</f>
        <v/>
      </c>
      <c r="I65" s="49" t="str">
        <f t="shared" si="89"/>
        <v/>
      </c>
      <c r="J65" s="49" t="str">
        <f t="shared" si="89"/>
        <v/>
      </c>
      <c r="K65" s="49" t="str">
        <f t="shared" si="89"/>
        <v/>
      </c>
      <c r="L65" s="49" t="str">
        <f t="shared" si="89"/>
        <v/>
      </c>
      <c r="M65" s="49" t="str">
        <f t="shared" si="89"/>
        <v/>
      </c>
      <c r="N65" s="49" t="str">
        <f t="shared" si="89"/>
        <v/>
      </c>
      <c r="O65" s="49" t="str">
        <f t="shared" si="89"/>
        <v/>
      </c>
      <c r="P65" s="49" t="str">
        <f t="shared" si="89"/>
        <v/>
      </c>
      <c r="Q65" s="49" t="str">
        <f t="shared" si="89"/>
        <v/>
      </c>
      <c r="R65" s="49" t="str">
        <f t="shared" si="89"/>
        <v/>
      </c>
      <c r="S65" s="49" t="str">
        <f t="shared" si="89"/>
        <v/>
      </c>
      <c r="T65" s="49" t="str">
        <f t="shared" si="89"/>
        <v/>
      </c>
      <c r="U65" s="49" t="str">
        <f t="shared" si="89"/>
        <v/>
      </c>
      <c r="V65" s="49" t="str">
        <f t="shared" si="89"/>
        <v/>
      </c>
      <c r="W65" s="49" t="str">
        <f t="shared" si="89"/>
        <v/>
      </c>
      <c r="X65" s="49" t="str">
        <f t="shared" si="89"/>
        <v/>
      </c>
      <c r="Y65" s="49" t="str">
        <f t="shared" si="89"/>
        <v/>
      </c>
      <c r="Z65" s="49" t="str">
        <f t="shared" si="89"/>
        <v/>
      </c>
      <c r="AA65" s="49" t="str">
        <f t="shared" si="89"/>
        <v/>
      </c>
      <c r="AB65" s="49" t="str">
        <f t="shared" si="89"/>
        <v/>
      </c>
      <c r="AC65" s="49" t="str">
        <f t="shared" si="89"/>
        <v/>
      </c>
      <c r="AD65" s="49" t="str">
        <f t="shared" si="89"/>
        <v/>
      </c>
      <c r="AE65" s="49" t="str">
        <f t="shared" si="89"/>
        <v/>
      </c>
      <c r="AF65" s="49" t="str">
        <f t="shared" si="89"/>
        <v/>
      </c>
      <c r="AG65" s="49" t="str">
        <f t="shared" si="89"/>
        <v/>
      </c>
      <c r="AH65" s="49" t="str">
        <f t="shared" si="89"/>
        <v/>
      </c>
      <c r="AI65" s="49" t="str">
        <f t="shared" si="89"/>
        <v/>
      </c>
      <c r="AJ65" s="49" t="str">
        <f t="shared" si="89"/>
        <v/>
      </c>
      <c r="AK65" s="49" t="str">
        <f t="shared" si="89"/>
        <v/>
      </c>
      <c r="AL65" s="49" t="str">
        <f t="shared" si="89"/>
        <v/>
      </c>
      <c r="AM65" s="49" t="str">
        <f t="shared" si="89"/>
        <v/>
      </c>
      <c r="AN65" s="49" t="str">
        <f t="shared" ref="AN65:BS65" si="90">IF(AN23="","",IF(ISERROR(AN23/AM23-1),"",AN23/AM23-1))</f>
        <v/>
      </c>
      <c r="AO65" s="49" t="str">
        <f t="shared" si="90"/>
        <v/>
      </c>
      <c r="AP65" s="49" t="str">
        <f t="shared" si="90"/>
        <v/>
      </c>
      <c r="AQ65" s="49" t="str">
        <f t="shared" si="90"/>
        <v/>
      </c>
      <c r="AR65" s="49" t="str">
        <f t="shared" si="90"/>
        <v/>
      </c>
      <c r="AS65" s="49" t="str">
        <f t="shared" si="90"/>
        <v/>
      </c>
      <c r="AT65" s="49" t="str">
        <f t="shared" si="90"/>
        <v/>
      </c>
      <c r="AU65" s="49" t="str">
        <f t="shared" si="90"/>
        <v/>
      </c>
      <c r="AV65" s="49" t="str">
        <f t="shared" si="90"/>
        <v/>
      </c>
      <c r="AW65" s="49" t="str">
        <f t="shared" si="90"/>
        <v/>
      </c>
      <c r="AX65" s="49" t="str">
        <f t="shared" si="90"/>
        <v/>
      </c>
      <c r="AY65" s="49" t="str">
        <f t="shared" si="90"/>
        <v/>
      </c>
      <c r="AZ65" s="49" t="str">
        <f t="shared" si="90"/>
        <v/>
      </c>
      <c r="BA65" s="49" t="str">
        <f t="shared" si="90"/>
        <v/>
      </c>
      <c r="BB65" s="49" t="str">
        <f t="shared" si="90"/>
        <v/>
      </c>
      <c r="BC65" s="49" t="str">
        <f t="shared" si="90"/>
        <v/>
      </c>
      <c r="BD65" s="49" t="str">
        <f t="shared" si="90"/>
        <v/>
      </c>
      <c r="BE65" s="49" t="str">
        <f t="shared" si="90"/>
        <v/>
      </c>
      <c r="BF65" s="49" t="str">
        <f t="shared" si="90"/>
        <v/>
      </c>
      <c r="BG65" s="49" t="str">
        <f t="shared" si="90"/>
        <v/>
      </c>
      <c r="BH65" s="49" t="str">
        <f t="shared" si="90"/>
        <v/>
      </c>
      <c r="BI65" s="49" t="str">
        <f t="shared" si="90"/>
        <v/>
      </c>
      <c r="BJ65" s="49" t="str">
        <f t="shared" si="90"/>
        <v/>
      </c>
      <c r="BK65" s="49" t="str">
        <f t="shared" si="90"/>
        <v/>
      </c>
      <c r="BL65" s="49" t="str">
        <f t="shared" si="90"/>
        <v/>
      </c>
      <c r="BM65" s="49" t="str">
        <f t="shared" si="90"/>
        <v/>
      </c>
      <c r="BN65" s="49" t="str">
        <f t="shared" si="90"/>
        <v/>
      </c>
      <c r="BO65" s="49" t="str">
        <f t="shared" si="90"/>
        <v/>
      </c>
      <c r="BP65" s="49">
        <f t="shared" si="90"/>
        <v>1.8330161575347059E-2</v>
      </c>
      <c r="BQ65" s="49">
        <f t="shared" si="90"/>
        <v>1.7477778881666906E-2</v>
      </c>
      <c r="BR65" s="49">
        <f t="shared" si="90"/>
        <v>-6.7247563047767578E-3</v>
      </c>
      <c r="BS65" s="49">
        <f t="shared" si="90"/>
        <v>-1.2935026108516601E-2</v>
      </c>
      <c r="BT65" s="49">
        <f t="shared" ref="BT65:CY65" si="91">IF(BT23="","",IF(ISERROR(BT23/BS23-1),"",BT23/BS23-1))</f>
        <v>1.3056074252020933E-2</v>
      </c>
      <c r="BU65" s="49">
        <f t="shared" si="91"/>
        <v>-7.4563691652224096E-3</v>
      </c>
      <c r="BV65" s="49">
        <f t="shared" si="91"/>
        <v>-1.4704685991316357E-2</v>
      </c>
      <c r="BW65" s="49">
        <f t="shared" si="91"/>
        <v>-1.4594770834975623E-2</v>
      </c>
      <c r="BX65" s="49">
        <f t="shared" si="91"/>
        <v>2.3272721294492982E-2</v>
      </c>
      <c r="BY65" s="49">
        <f t="shared" si="91"/>
        <v>-7.8300231460118885E-3</v>
      </c>
      <c r="BZ65" s="49">
        <f t="shared" si="91"/>
        <v>-3.6290805140426485E-3</v>
      </c>
      <c r="CA65" s="49">
        <f t="shared" si="91"/>
        <v>-5.1879102248297837E-4</v>
      </c>
      <c r="CB65" s="49">
        <f t="shared" si="91"/>
        <v>9.1931489675474154E-3</v>
      </c>
      <c r="CC65" s="49">
        <f t="shared" si="91"/>
        <v>7.625280703233317E-3</v>
      </c>
      <c r="CD65" s="49">
        <f t="shared" si="91"/>
        <v>-4.0161280050162729E-3</v>
      </c>
      <c r="CE65" s="49">
        <f t="shared" si="91"/>
        <v>-1.4161770707532439E-2</v>
      </c>
      <c r="CF65" s="49">
        <f t="shared" si="91"/>
        <v>1.008604686197323E-2</v>
      </c>
      <c r="CG65" s="49">
        <f t="shared" si="91"/>
        <v>7.1195651747204547E-3</v>
      </c>
      <c r="CH65" s="49">
        <f t="shared" si="91"/>
        <v>3.7663395638434016E-2</v>
      </c>
      <c r="CI65" s="49">
        <f t="shared" si="91"/>
        <v>1.4897015394838231E-2</v>
      </c>
      <c r="CJ65" s="49">
        <f t="shared" si="91"/>
        <v>2.3779294618262448E-3</v>
      </c>
      <c r="CK65" s="49">
        <f t="shared" si="91"/>
        <v>8.5674029419480213E-4</v>
      </c>
      <c r="CL65" s="49">
        <f t="shared" si="91"/>
        <v>-4.3123401349058899E-3</v>
      </c>
      <c r="CM65" s="49">
        <f t="shared" si="91"/>
        <v>6.0422739071737119E-3</v>
      </c>
      <c r="CN65" s="49">
        <f t="shared" si="91"/>
        <v>8.5191198769052345E-3</v>
      </c>
      <c r="CO65" s="49">
        <f t="shared" si="91"/>
        <v>6.2833246433677825E-3</v>
      </c>
      <c r="CP65" s="49">
        <f t="shared" si="91"/>
        <v>1.6192925763744981E-3</v>
      </c>
      <c r="CQ65" s="49">
        <f t="shared" si="91"/>
        <v>-3.6143962725543322E-3</v>
      </c>
      <c r="CR65" s="49">
        <f t="shared" si="91"/>
        <v>7.7617589931082698E-3</v>
      </c>
      <c r="CS65" s="49">
        <f t="shared" si="91"/>
        <v>1.3953753774598177E-4</v>
      </c>
      <c r="CT65" s="49">
        <f t="shared" si="91"/>
        <v>4.9099973706965283E-3</v>
      </c>
      <c r="CU65" s="49">
        <f t="shared" si="91"/>
        <v>1.9072099473718129E-3</v>
      </c>
      <c r="CV65" s="49">
        <f t="shared" si="91"/>
        <v>3.4654163075381161E-2</v>
      </c>
      <c r="CW65" s="49">
        <f t="shared" si="91"/>
        <v>2.0118817756997087E-2</v>
      </c>
      <c r="CX65" s="49">
        <f t="shared" si="91"/>
        <v>-9.0711808035733865E-3</v>
      </c>
      <c r="CY65" s="49">
        <f t="shared" si="91"/>
        <v>-1.3572786383036051E-2</v>
      </c>
      <c r="CZ65" s="49">
        <f t="shared" ref="CZ65:EE65" si="92">IF(CZ23="","",IF(ISERROR(CZ23/CY23-1),"",CZ23/CY23-1))</f>
        <v>5.1084074746816643E-3</v>
      </c>
      <c r="DA65" s="49">
        <f t="shared" si="92"/>
        <v>3.6323593423133183E-3</v>
      </c>
      <c r="DB65" s="49">
        <f t="shared" si="92"/>
        <v>-1.0835813391970373E-2</v>
      </c>
      <c r="DC65" s="49">
        <f t="shared" si="92"/>
        <v>-2.8883099091665532E-2</v>
      </c>
      <c r="DD65" s="49">
        <f t="shared" si="92"/>
        <v>-3.4512350869030373E-3</v>
      </c>
      <c r="DE65" s="49">
        <f t="shared" si="92"/>
        <v>1.227965874520609E-2</v>
      </c>
      <c r="DF65" s="49">
        <f t="shared" si="92"/>
        <v>7.0718946117878101E-3</v>
      </c>
      <c r="DG65" s="49">
        <f t="shared" si="92"/>
        <v>-2.162005238552378E-2</v>
      </c>
      <c r="DH65" s="49">
        <f t="shared" si="92"/>
        <v>1.0062735284549262E-2</v>
      </c>
      <c r="DI65" s="49">
        <f t="shared" si="92"/>
        <v>1.04038326933662E-2</v>
      </c>
      <c r="DJ65" s="49">
        <f t="shared" si="92"/>
        <v>-7.6446373745298057E-4</v>
      </c>
      <c r="DK65" s="49">
        <f t="shared" si="92"/>
        <v>5.271194635758647E-4</v>
      </c>
      <c r="DL65" s="49">
        <f t="shared" si="92"/>
        <v>-2.0892226681660242E-3</v>
      </c>
      <c r="DM65" s="49">
        <f t="shared" si="92"/>
        <v>1.2822455924581755E-2</v>
      </c>
      <c r="DN65" s="49">
        <f t="shared" si="92"/>
        <v>6.5683022213871567E-3</v>
      </c>
      <c r="DO65" s="49">
        <f t="shared" si="92"/>
        <v>-1.8371157181215292E-2</v>
      </c>
      <c r="DP65" s="49" t="str">
        <f t="shared" si="92"/>
        <v/>
      </c>
      <c r="DQ65" s="49" t="str">
        <f t="shared" si="92"/>
        <v/>
      </c>
      <c r="DR65" s="49" t="str">
        <f t="shared" si="92"/>
        <v/>
      </c>
      <c r="DS65" s="49" t="str">
        <f t="shared" si="92"/>
        <v/>
      </c>
      <c r="DT65" s="49" t="str">
        <f t="shared" si="92"/>
        <v/>
      </c>
      <c r="DU65" s="49" t="str">
        <f t="shared" si="92"/>
        <v/>
      </c>
      <c r="DV65" s="49" t="str">
        <f t="shared" si="92"/>
        <v/>
      </c>
      <c r="DW65" s="49" t="str">
        <f t="shared" si="92"/>
        <v/>
      </c>
      <c r="DX65" s="49" t="str">
        <f t="shared" si="92"/>
        <v/>
      </c>
      <c r="DY65" s="49" t="str">
        <f t="shared" si="92"/>
        <v/>
      </c>
      <c r="DZ65" s="49" t="str">
        <f t="shared" si="92"/>
        <v/>
      </c>
      <c r="EA65" s="49" t="str">
        <f t="shared" si="92"/>
        <v/>
      </c>
      <c r="EB65" s="49" t="str">
        <f t="shared" si="92"/>
        <v/>
      </c>
      <c r="EC65" s="49" t="str">
        <f t="shared" si="92"/>
        <v/>
      </c>
      <c r="ED65" s="49" t="str">
        <f t="shared" si="92"/>
        <v/>
      </c>
      <c r="EE65" s="49" t="str">
        <f t="shared" si="92"/>
        <v/>
      </c>
      <c r="EF65" s="49" t="str">
        <f t="shared" ref="EF65:EL65" si="93">IF(EF23="","",IF(ISERROR(EF23/EE23-1),"",EF23/EE23-1))</f>
        <v/>
      </c>
      <c r="EG65" s="49" t="str">
        <f t="shared" si="93"/>
        <v/>
      </c>
      <c r="EH65" s="49" t="str">
        <f t="shared" si="93"/>
        <v/>
      </c>
      <c r="EI65" s="49" t="str">
        <f t="shared" si="93"/>
        <v/>
      </c>
      <c r="EJ65" s="49" t="str">
        <f t="shared" si="93"/>
        <v/>
      </c>
      <c r="EK65" s="49" t="str">
        <f t="shared" si="93"/>
        <v/>
      </c>
      <c r="EL65" s="49" t="str">
        <f t="shared" si="93"/>
        <v/>
      </c>
    </row>
    <row r="66" spans="2:142" x14ac:dyDescent="0.25">
      <c r="B66" s="30">
        <f t="shared" si="18"/>
        <v>16</v>
      </c>
      <c r="C66" s="31" t="str">
        <f t="shared" si="18"/>
        <v>CEBOLLA Y CEBOLLÍN</v>
      </c>
      <c r="D66" s="32">
        <f t="shared" si="18"/>
        <v>1.3286999999999999E-3</v>
      </c>
      <c r="E66" s="32">
        <f t="shared" si="18"/>
        <v>1.0780877269850544E-2</v>
      </c>
      <c r="G66" s="50"/>
      <c r="H66" s="50" t="str">
        <f t="shared" ref="H66:AM66" si="94">IF(H24="","",IF(ISERROR(H24/G24-1),"",H24/G24-1))</f>
        <v/>
      </c>
      <c r="I66" s="50" t="str">
        <f t="shared" si="94"/>
        <v/>
      </c>
      <c r="J66" s="50" t="str">
        <f t="shared" si="94"/>
        <v/>
      </c>
      <c r="K66" s="50" t="str">
        <f t="shared" si="94"/>
        <v/>
      </c>
      <c r="L66" s="50" t="str">
        <f t="shared" si="94"/>
        <v/>
      </c>
      <c r="M66" s="50" t="str">
        <f t="shared" si="94"/>
        <v/>
      </c>
      <c r="N66" s="50" t="str">
        <f t="shared" si="94"/>
        <v/>
      </c>
      <c r="O66" s="50" t="str">
        <f t="shared" si="94"/>
        <v/>
      </c>
      <c r="P66" s="50" t="str">
        <f t="shared" si="94"/>
        <v/>
      </c>
      <c r="Q66" s="50" t="str">
        <f t="shared" si="94"/>
        <v/>
      </c>
      <c r="R66" s="50" t="str">
        <f t="shared" si="94"/>
        <v/>
      </c>
      <c r="S66" s="50" t="str">
        <f t="shared" si="94"/>
        <v/>
      </c>
      <c r="T66" s="50" t="str">
        <f t="shared" si="94"/>
        <v/>
      </c>
      <c r="U66" s="50" t="str">
        <f t="shared" si="94"/>
        <v/>
      </c>
      <c r="V66" s="50" t="str">
        <f t="shared" si="94"/>
        <v/>
      </c>
      <c r="W66" s="50" t="str">
        <f t="shared" si="94"/>
        <v/>
      </c>
      <c r="X66" s="50" t="str">
        <f t="shared" si="94"/>
        <v/>
      </c>
      <c r="Y66" s="50" t="str">
        <f t="shared" si="94"/>
        <v/>
      </c>
      <c r="Z66" s="50" t="str">
        <f t="shared" si="94"/>
        <v/>
      </c>
      <c r="AA66" s="50" t="str">
        <f t="shared" si="94"/>
        <v/>
      </c>
      <c r="AB66" s="50" t="str">
        <f t="shared" si="94"/>
        <v/>
      </c>
      <c r="AC66" s="50" t="str">
        <f t="shared" si="94"/>
        <v/>
      </c>
      <c r="AD66" s="50" t="str">
        <f t="shared" si="94"/>
        <v/>
      </c>
      <c r="AE66" s="50" t="str">
        <f t="shared" si="94"/>
        <v/>
      </c>
      <c r="AF66" s="50" t="str">
        <f t="shared" si="94"/>
        <v/>
      </c>
      <c r="AG66" s="50" t="str">
        <f t="shared" si="94"/>
        <v/>
      </c>
      <c r="AH66" s="50" t="str">
        <f t="shared" si="94"/>
        <v/>
      </c>
      <c r="AI66" s="50" t="str">
        <f t="shared" si="94"/>
        <v/>
      </c>
      <c r="AJ66" s="50" t="str">
        <f t="shared" si="94"/>
        <v/>
      </c>
      <c r="AK66" s="50" t="str">
        <f t="shared" si="94"/>
        <v/>
      </c>
      <c r="AL66" s="50" t="str">
        <f t="shared" si="94"/>
        <v/>
      </c>
      <c r="AM66" s="50" t="str">
        <f t="shared" si="94"/>
        <v/>
      </c>
      <c r="AN66" s="50" t="str">
        <f t="shared" ref="AN66:BS66" si="95">IF(AN24="","",IF(ISERROR(AN24/AM24-1),"",AN24/AM24-1))</f>
        <v/>
      </c>
      <c r="AO66" s="50" t="str">
        <f t="shared" si="95"/>
        <v/>
      </c>
      <c r="AP66" s="50" t="str">
        <f t="shared" si="95"/>
        <v/>
      </c>
      <c r="AQ66" s="50" t="str">
        <f t="shared" si="95"/>
        <v/>
      </c>
      <c r="AR66" s="50" t="str">
        <f t="shared" si="95"/>
        <v/>
      </c>
      <c r="AS66" s="50" t="str">
        <f t="shared" si="95"/>
        <v/>
      </c>
      <c r="AT66" s="50" t="str">
        <f t="shared" si="95"/>
        <v/>
      </c>
      <c r="AU66" s="50" t="str">
        <f t="shared" si="95"/>
        <v/>
      </c>
      <c r="AV66" s="50" t="str">
        <f t="shared" si="95"/>
        <v/>
      </c>
      <c r="AW66" s="50" t="str">
        <f t="shared" si="95"/>
        <v/>
      </c>
      <c r="AX66" s="50" t="str">
        <f t="shared" si="95"/>
        <v/>
      </c>
      <c r="AY66" s="50" t="str">
        <f t="shared" si="95"/>
        <v/>
      </c>
      <c r="AZ66" s="50" t="str">
        <f t="shared" si="95"/>
        <v/>
      </c>
      <c r="BA66" s="50" t="str">
        <f t="shared" si="95"/>
        <v/>
      </c>
      <c r="BB66" s="50" t="str">
        <f t="shared" si="95"/>
        <v/>
      </c>
      <c r="BC66" s="50" t="str">
        <f t="shared" si="95"/>
        <v/>
      </c>
      <c r="BD66" s="50" t="str">
        <f t="shared" si="95"/>
        <v/>
      </c>
      <c r="BE66" s="50" t="str">
        <f t="shared" si="95"/>
        <v/>
      </c>
      <c r="BF66" s="50" t="str">
        <f t="shared" si="95"/>
        <v/>
      </c>
      <c r="BG66" s="50" t="str">
        <f t="shared" si="95"/>
        <v/>
      </c>
      <c r="BH66" s="50" t="str">
        <f t="shared" si="95"/>
        <v/>
      </c>
      <c r="BI66" s="50" t="str">
        <f t="shared" si="95"/>
        <v/>
      </c>
      <c r="BJ66" s="50" t="str">
        <f t="shared" si="95"/>
        <v/>
      </c>
      <c r="BK66" s="50" t="str">
        <f t="shared" si="95"/>
        <v/>
      </c>
      <c r="BL66" s="50" t="str">
        <f t="shared" si="95"/>
        <v/>
      </c>
      <c r="BM66" s="50" t="str">
        <f t="shared" si="95"/>
        <v/>
      </c>
      <c r="BN66" s="50" t="str">
        <f t="shared" si="95"/>
        <v/>
      </c>
      <c r="BO66" s="50" t="str">
        <f t="shared" si="95"/>
        <v/>
      </c>
      <c r="BP66" s="50">
        <f t="shared" si="95"/>
        <v>-5.0965351897332756E-2</v>
      </c>
      <c r="BQ66" s="50">
        <f t="shared" si="95"/>
        <v>1.7080760724654809E-2</v>
      </c>
      <c r="BR66" s="50">
        <f t="shared" si="95"/>
        <v>3.2481701829497389E-2</v>
      </c>
      <c r="BS66" s="50">
        <f t="shared" si="95"/>
        <v>-3.5739411070952909E-2</v>
      </c>
      <c r="BT66" s="50">
        <f t="shared" ref="BT66:CY66" si="96">IF(BT24="","",IF(ISERROR(BT24/BS24-1),"",BT24/BS24-1))</f>
        <v>1.7231672606029758E-2</v>
      </c>
      <c r="BU66" s="50">
        <f t="shared" si="96"/>
        <v>-9.3241586761909634E-3</v>
      </c>
      <c r="BV66" s="50">
        <f t="shared" si="96"/>
        <v>0.12332062431743229</v>
      </c>
      <c r="BW66" s="50">
        <f t="shared" si="96"/>
        <v>8.4789499753711084E-2</v>
      </c>
      <c r="BX66" s="50">
        <f t="shared" si="96"/>
        <v>-4.1540176527900763E-2</v>
      </c>
      <c r="BY66" s="50">
        <f t="shared" si="96"/>
        <v>-0.15931598036044481</v>
      </c>
      <c r="BZ66" s="50">
        <f t="shared" si="96"/>
        <v>-0.26332284691298002</v>
      </c>
      <c r="CA66" s="50">
        <f t="shared" si="96"/>
        <v>-2.3034444430025669E-3</v>
      </c>
      <c r="CB66" s="50">
        <f t="shared" si="96"/>
        <v>-4.5238648711024232E-2</v>
      </c>
      <c r="CC66" s="50">
        <f t="shared" si="96"/>
        <v>-1.5745435481940517E-2</v>
      </c>
      <c r="CD66" s="50">
        <f t="shared" si="96"/>
        <v>9.4462116182483236E-3</v>
      </c>
      <c r="CE66" s="50">
        <f t="shared" si="96"/>
        <v>1.768046781024557E-2</v>
      </c>
      <c r="CF66" s="50">
        <f t="shared" si="96"/>
        <v>-4.6909105867391387E-2</v>
      </c>
      <c r="CG66" s="50">
        <f t="shared" si="96"/>
        <v>-2.2877284079493188E-2</v>
      </c>
      <c r="CH66" s="50">
        <f t="shared" si="96"/>
        <v>1.163077796612888E-2</v>
      </c>
      <c r="CI66" s="50">
        <f t="shared" si="96"/>
        <v>7.6518825633901111E-2</v>
      </c>
      <c r="CJ66" s="50">
        <f t="shared" si="96"/>
        <v>-3.6849390258283488E-2</v>
      </c>
      <c r="CK66" s="50">
        <f t="shared" si="96"/>
        <v>1.8867569048441002E-2</v>
      </c>
      <c r="CL66" s="50">
        <f t="shared" si="96"/>
        <v>-0.10469615211864758</v>
      </c>
      <c r="CM66" s="50">
        <f t="shared" si="96"/>
        <v>0.17230382021855717</v>
      </c>
      <c r="CN66" s="50">
        <f t="shared" si="96"/>
        <v>7.833467790637072E-2</v>
      </c>
      <c r="CO66" s="50">
        <f t="shared" si="96"/>
        <v>4.3334711618538746E-2</v>
      </c>
      <c r="CP66" s="50">
        <f t="shared" si="96"/>
        <v>2.8517319312382217E-2</v>
      </c>
      <c r="CQ66" s="50">
        <f t="shared" si="96"/>
        <v>-5.5126106123092211E-2</v>
      </c>
      <c r="CR66" s="50">
        <f t="shared" si="96"/>
        <v>0.15071110850933311</v>
      </c>
      <c r="CS66" s="50">
        <f t="shared" si="96"/>
        <v>8.1191391624560572E-2</v>
      </c>
      <c r="CT66" s="50">
        <f t="shared" si="96"/>
        <v>0.30858918808967317</v>
      </c>
      <c r="CU66" s="50">
        <f t="shared" si="96"/>
        <v>7.4155554670982227E-2</v>
      </c>
      <c r="CV66" s="50">
        <f t="shared" si="96"/>
        <v>-0.11018213238538666</v>
      </c>
      <c r="CW66" s="50">
        <f t="shared" si="96"/>
        <v>7.4610952879616388E-2</v>
      </c>
      <c r="CX66" s="50">
        <f t="shared" si="96"/>
        <v>-0.16492697618316454</v>
      </c>
      <c r="CY66" s="50">
        <f t="shared" si="96"/>
        <v>-8.3696010740104021E-2</v>
      </c>
      <c r="CZ66" s="50">
        <f t="shared" ref="CZ66:EE66" si="97">IF(CZ24="","",IF(ISERROR(CZ24/CY24-1),"",CZ24/CY24-1))</f>
        <v>-3.5530736726828716E-2</v>
      </c>
      <c r="DA66" s="50">
        <f t="shared" si="97"/>
        <v>0.12061773362999761</v>
      </c>
      <c r="DB66" s="50">
        <f t="shared" si="97"/>
        <v>0.13482103613245622</v>
      </c>
      <c r="DC66" s="50">
        <f t="shared" si="97"/>
        <v>-3.4857945262886325E-2</v>
      </c>
      <c r="DD66" s="50">
        <f t="shared" si="97"/>
        <v>2.6836673926608601E-2</v>
      </c>
      <c r="DE66" s="50">
        <f t="shared" si="97"/>
        <v>-2.0518694151244854E-2</v>
      </c>
      <c r="DF66" s="50">
        <f t="shared" si="97"/>
        <v>7.3222956096476333E-2</v>
      </c>
      <c r="DG66" s="50">
        <f t="shared" si="97"/>
        <v>-2.2116143434153135E-2</v>
      </c>
      <c r="DH66" s="50">
        <f t="shared" si="97"/>
        <v>-0.10588966467882377</v>
      </c>
      <c r="DI66" s="50">
        <f t="shared" si="97"/>
        <v>-5.1935827112933097E-2</v>
      </c>
      <c r="DJ66" s="50">
        <f t="shared" si="97"/>
        <v>-6.990192471898149E-2</v>
      </c>
      <c r="DK66" s="50">
        <f t="shared" si="97"/>
        <v>6.3369236449768884E-2</v>
      </c>
      <c r="DL66" s="50">
        <f t="shared" si="97"/>
        <v>-0.12159808884927514</v>
      </c>
      <c r="DM66" s="50">
        <f t="shared" si="97"/>
        <v>4.122328528037178E-2</v>
      </c>
      <c r="DN66" s="50">
        <f t="shared" si="97"/>
        <v>-0.1026189167066609</v>
      </c>
      <c r="DO66" s="50">
        <f t="shared" si="97"/>
        <v>-0.13597355584676385</v>
      </c>
      <c r="DP66" s="50" t="str">
        <f t="shared" si="97"/>
        <v/>
      </c>
      <c r="DQ66" s="50" t="str">
        <f t="shared" si="97"/>
        <v/>
      </c>
      <c r="DR66" s="50" t="str">
        <f t="shared" si="97"/>
        <v/>
      </c>
      <c r="DS66" s="50" t="str">
        <f t="shared" si="97"/>
        <v/>
      </c>
      <c r="DT66" s="50" t="str">
        <f t="shared" si="97"/>
        <v/>
      </c>
      <c r="DU66" s="50" t="str">
        <f t="shared" si="97"/>
        <v/>
      </c>
      <c r="DV66" s="50" t="str">
        <f t="shared" si="97"/>
        <v/>
      </c>
      <c r="DW66" s="50" t="str">
        <f t="shared" si="97"/>
        <v/>
      </c>
      <c r="DX66" s="50" t="str">
        <f t="shared" si="97"/>
        <v/>
      </c>
      <c r="DY66" s="50" t="str">
        <f t="shared" si="97"/>
        <v/>
      </c>
      <c r="DZ66" s="50" t="str">
        <f t="shared" si="97"/>
        <v/>
      </c>
      <c r="EA66" s="50" t="str">
        <f t="shared" si="97"/>
        <v/>
      </c>
      <c r="EB66" s="50" t="str">
        <f t="shared" si="97"/>
        <v/>
      </c>
      <c r="EC66" s="50" t="str">
        <f t="shared" si="97"/>
        <v/>
      </c>
      <c r="ED66" s="50" t="str">
        <f t="shared" si="97"/>
        <v/>
      </c>
      <c r="EE66" s="50" t="str">
        <f t="shared" si="97"/>
        <v/>
      </c>
      <c r="EF66" s="50" t="str">
        <f t="shared" ref="EF66:EL66" si="98">IF(EF24="","",IF(ISERROR(EF24/EE24-1),"",EF24/EE24-1))</f>
        <v/>
      </c>
      <c r="EG66" s="50" t="str">
        <f t="shared" si="98"/>
        <v/>
      </c>
      <c r="EH66" s="50" t="str">
        <f t="shared" si="98"/>
        <v/>
      </c>
      <c r="EI66" s="50" t="str">
        <f t="shared" si="98"/>
        <v/>
      </c>
      <c r="EJ66" s="50" t="str">
        <f t="shared" si="98"/>
        <v/>
      </c>
      <c r="EK66" s="50" t="str">
        <f t="shared" si="98"/>
        <v/>
      </c>
      <c r="EL66" s="50" t="str">
        <f t="shared" si="98"/>
        <v/>
      </c>
    </row>
    <row r="67" spans="2:142" x14ac:dyDescent="0.25">
      <c r="B67" s="34">
        <f t="shared" si="18"/>
        <v>17</v>
      </c>
      <c r="C67" s="35" t="str">
        <f t="shared" si="18"/>
        <v>ACELGA Y ESPINACA</v>
      </c>
      <c r="D67" s="36">
        <f t="shared" si="18"/>
        <v>4.3379999999999997E-4</v>
      </c>
      <c r="E67" s="36">
        <f t="shared" si="18"/>
        <v>3.5197896889148537E-3</v>
      </c>
      <c r="G67" s="51"/>
      <c r="H67" s="51" t="str">
        <f t="shared" ref="H67:AM67" si="99">IF(H25="","",IF(ISERROR(H25/G25-1),"",H25/G25-1))</f>
        <v/>
      </c>
      <c r="I67" s="51" t="str">
        <f t="shared" si="99"/>
        <v/>
      </c>
      <c r="J67" s="51" t="str">
        <f t="shared" si="99"/>
        <v/>
      </c>
      <c r="K67" s="51" t="str">
        <f t="shared" si="99"/>
        <v/>
      </c>
      <c r="L67" s="51" t="str">
        <f t="shared" si="99"/>
        <v/>
      </c>
      <c r="M67" s="51" t="str">
        <f t="shared" si="99"/>
        <v/>
      </c>
      <c r="N67" s="51" t="str">
        <f t="shared" si="99"/>
        <v/>
      </c>
      <c r="O67" s="51" t="str">
        <f t="shared" si="99"/>
        <v/>
      </c>
      <c r="P67" s="51" t="str">
        <f t="shared" si="99"/>
        <v/>
      </c>
      <c r="Q67" s="51" t="str">
        <f t="shared" si="99"/>
        <v/>
      </c>
      <c r="R67" s="51" t="str">
        <f t="shared" si="99"/>
        <v/>
      </c>
      <c r="S67" s="51" t="str">
        <f t="shared" si="99"/>
        <v/>
      </c>
      <c r="T67" s="51" t="str">
        <f t="shared" si="99"/>
        <v/>
      </c>
      <c r="U67" s="51" t="str">
        <f t="shared" si="99"/>
        <v/>
      </c>
      <c r="V67" s="51" t="str">
        <f t="shared" si="99"/>
        <v/>
      </c>
      <c r="W67" s="51" t="str">
        <f t="shared" si="99"/>
        <v/>
      </c>
      <c r="X67" s="51" t="str">
        <f t="shared" si="99"/>
        <v/>
      </c>
      <c r="Y67" s="51" t="str">
        <f t="shared" si="99"/>
        <v/>
      </c>
      <c r="Z67" s="51" t="str">
        <f t="shared" si="99"/>
        <v/>
      </c>
      <c r="AA67" s="51" t="str">
        <f t="shared" si="99"/>
        <v/>
      </c>
      <c r="AB67" s="51" t="str">
        <f t="shared" si="99"/>
        <v/>
      </c>
      <c r="AC67" s="51" t="str">
        <f t="shared" si="99"/>
        <v/>
      </c>
      <c r="AD67" s="51" t="str">
        <f t="shared" si="99"/>
        <v/>
      </c>
      <c r="AE67" s="51" t="str">
        <f t="shared" si="99"/>
        <v/>
      </c>
      <c r="AF67" s="51" t="str">
        <f t="shared" si="99"/>
        <v/>
      </c>
      <c r="AG67" s="51" t="str">
        <f t="shared" si="99"/>
        <v/>
      </c>
      <c r="AH67" s="51" t="str">
        <f t="shared" si="99"/>
        <v/>
      </c>
      <c r="AI67" s="51" t="str">
        <f t="shared" si="99"/>
        <v/>
      </c>
      <c r="AJ67" s="51" t="str">
        <f t="shared" si="99"/>
        <v/>
      </c>
      <c r="AK67" s="51" t="str">
        <f t="shared" si="99"/>
        <v/>
      </c>
      <c r="AL67" s="51">
        <f t="shared" si="99"/>
        <v>5.6627959220356683E-2</v>
      </c>
      <c r="AM67" s="51">
        <f t="shared" si="99"/>
        <v>-0.13197263297127482</v>
      </c>
      <c r="AN67" s="51">
        <f t="shared" ref="AN67:BS67" si="100">IF(AN25="","",IF(ISERROR(AN25/AM25-1),"",AN25/AM25-1))</f>
        <v>-4.356699002472042E-2</v>
      </c>
      <c r="AO67" s="51" t="str">
        <f t="shared" si="100"/>
        <v/>
      </c>
      <c r="AP67" s="51" t="str">
        <f t="shared" si="100"/>
        <v/>
      </c>
      <c r="AQ67" s="51" t="str">
        <f t="shared" si="100"/>
        <v/>
      </c>
      <c r="AR67" s="51" t="str">
        <f t="shared" si="100"/>
        <v/>
      </c>
      <c r="AS67" s="51" t="str">
        <f t="shared" si="100"/>
        <v/>
      </c>
      <c r="AT67" s="51" t="str">
        <f t="shared" si="100"/>
        <v/>
      </c>
      <c r="AU67" s="51" t="str">
        <f t="shared" si="100"/>
        <v/>
      </c>
      <c r="AV67" s="51" t="str">
        <f t="shared" si="100"/>
        <v/>
      </c>
      <c r="AW67" s="51" t="str">
        <f t="shared" si="100"/>
        <v/>
      </c>
      <c r="AX67" s="51" t="str">
        <f t="shared" si="100"/>
        <v/>
      </c>
      <c r="AY67" s="51" t="str">
        <f t="shared" si="100"/>
        <v/>
      </c>
      <c r="AZ67" s="51" t="str">
        <f t="shared" si="100"/>
        <v/>
      </c>
      <c r="BA67" s="51" t="str">
        <f t="shared" si="100"/>
        <v/>
      </c>
      <c r="BB67" s="51" t="str">
        <f t="shared" si="100"/>
        <v/>
      </c>
      <c r="BC67" s="51" t="str">
        <f t="shared" si="100"/>
        <v/>
      </c>
      <c r="BD67" s="51" t="str">
        <f t="shared" si="100"/>
        <v/>
      </c>
      <c r="BE67" s="51" t="str">
        <f t="shared" si="100"/>
        <v/>
      </c>
      <c r="BF67" s="51" t="str">
        <f t="shared" si="100"/>
        <v/>
      </c>
      <c r="BG67" s="51" t="str">
        <f t="shared" si="100"/>
        <v/>
      </c>
      <c r="BH67" s="51" t="str">
        <f t="shared" si="100"/>
        <v/>
      </c>
      <c r="BI67" s="51" t="str">
        <f t="shared" si="100"/>
        <v/>
      </c>
      <c r="BJ67" s="51" t="str">
        <f t="shared" si="100"/>
        <v/>
      </c>
      <c r="BK67" s="51" t="str">
        <f t="shared" si="100"/>
        <v/>
      </c>
      <c r="BL67" s="51" t="str">
        <f t="shared" si="100"/>
        <v/>
      </c>
      <c r="BM67" s="51" t="str">
        <f t="shared" si="100"/>
        <v/>
      </c>
      <c r="BN67" s="51" t="str">
        <f t="shared" si="100"/>
        <v/>
      </c>
      <c r="BO67" s="51" t="str">
        <f t="shared" si="100"/>
        <v/>
      </c>
      <c r="BP67" s="51" t="str">
        <f t="shared" si="100"/>
        <v/>
      </c>
      <c r="BQ67" s="51" t="str">
        <f t="shared" si="100"/>
        <v/>
      </c>
      <c r="BR67" s="51" t="str">
        <f t="shared" si="100"/>
        <v/>
      </c>
      <c r="BS67" s="51">
        <f t="shared" si="100"/>
        <v>1.5628363853559257E-2</v>
      </c>
      <c r="BT67" s="51">
        <f t="shared" ref="BT67:CY67" si="101">IF(BT25="","",IF(ISERROR(BT25/BS25-1),"",BT25/BS25-1))</f>
        <v>8.3761285119780426E-2</v>
      </c>
      <c r="BU67" s="51">
        <f t="shared" si="101"/>
        <v>4.0106360449653877E-2</v>
      </c>
      <c r="BV67" s="51">
        <f t="shared" si="101"/>
        <v>7.9355726816365824E-4</v>
      </c>
      <c r="BW67" s="51">
        <f t="shared" si="101"/>
        <v>9.1736696092770131E-3</v>
      </c>
      <c r="BX67" s="51">
        <f t="shared" si="101"/>
        <v>4.8864473531711416E-2</v>
      </c>
      <c r="BY67" s="51">
        <f t="shared" si="101"/>
        <v>3.6661160062266829E-2</v>
      </c>
      <c r="BZ67" s="51">
        <f t="shared" si="101"/>
        <v>-2.2789486070838083E-2</v>
      </c>
      <c r="CA67" s="51">
        <f t="shared" si="101"/>
        <v>0.11475659892206069</v>
      </c>
      <c r="CB67" s="51">
        <f t="shared" si="101"/>
        <v>-9.1520334510338919E-2</v>
      </c>
      <c r="CC67" s="51">
        <f t="shared" si="101"/>
        <v>-1.859971988869924E-2</v>
      </c>
      <c r="CD67" s="51">
        <f t="shared" si="101"/>
        <v>-2.8671135292460015E-2</v>
      </c>
      <c r="CE67" s="51">
        <f t="shared" si="101"/>
        <v>9.2758893774136375E-4</v>
      </c>
      <c r="CF67" s="51">
        <f t="shared" si="101"/>
        <v>1.7922513442746313E-2</v>
      </c>
      <c r="CG67" s="51">
        <f t="shared" si="101"/>
        <v>3.1306289770368423E-2</v>
      </c>
      <c r="CH67" s="51">
        <f t="shared" si="101"/>
        <v>-2.3519146346844932E-2</v>
      </c>
      <c r="CI67" s="51">
        <f t="shared" si="101"/>
        <v>2.0903408753151442E-2</v>
      </c>
      <c r="CJ67" s="51">
        <f t="shared" si="101"/>
        <v>-1.0613515816706887E-2</v>
      </c>
      <c r="CK67" s="51">
        <f t="shared" si="101"/>
        <v>0.10675935944100767</v>
      </c>
      <c r="CL67" s="51">
        <f t="shared" si="101"/>
        <v>3.0200645523174696E-2</v>
      </c>
      <c r="CM67" s="51">
        <f t="shared" si="101"/>
        <v>-5.3643360829820241E-2</v>
      </c>
      <c r="CN67" s="51">
        <f t="shared" si="101"/>
        <v>2.138341663544252E-2</v>
      </c>
      <c r="CO67" s="51">
        <f t="shared" si="101"/>
        <v>3.8382742408516801E-2</v>
      </c>
      <c r="CP67" s="51">
        <f t="shared" si="101"/>
        <v>-6.2625968622431971E-2</v>
      </c>
      <c r="CQ67" s="51">
        <f t="shared" si="101"/>
        <v>-3.37857224241358E-2</v>
      </c>
      <c r="CR67" s="51">
        <f t="shared" si="101"/>
        <v>3.6466363464504603E-4</v>
      </c>
      <c r="CS67" s="51">
        <f t="shared" si="101"/>
        <v>1.8904796805568225E-2</v>
      </c>
      <c r="CT67" s="51">
        <f t="shared" si="101"/>
        <v>3.8247726484790245E-2</v>
      </c>
      <c r="CU67" s="51">
        <f t="shared" si="101"/>
        <v>-5.8584610154020611E-2</v>
      </c>
      <c r="CV67" s="51">
        <f t="shared" si="101"/>
        <v>2.6134784058822635E-2</v>
      </c>
      <c r="CW67" s="51">
        <f t="shared" si="101"/>
        <v>2.2079192047927743E-2</v>
      </c>
      <c r="CX67" s="51">
        <f t="shared" si="101"/>
        <v>5.3035644740122567E-2</v>
      </c>
      <c r="CY67" s="51">
        <f t="shared" si="101"/>
        <v>4.8466496197357323E-2</v>
      </c>
      <c r="CZ67" s="51">
        <f t="shared" ref="CZ67:EE67" si="102">IF(CZ25="","",IF(ISERROR(CZ25/CY25-1),"",CZ25/CY25-1))</f>
        <v>-7.460862949673075E-4</v>
      </c>
      <c r="DA67" s="51">
        <f t="shared" si="102"/>
        <v>-1.5361852550928479E-2</v>
      </c>
      <c r="DB67" s="51">
        <f t="shared" si="102"/>
        <v>-3.7843395580470118E-2</v>
      </c>
      <c r="DC67" s="51">
        <f t="shared" si="102"/>
        <v>3.5981779546801151E-2</v>
      </c>
      <c r="DD67" s="51">
        <f t="shared" si="102"/>
        <v>3.1164691303533054E-2</v>
      </c>
      <c r="DE67" s="51">
        <f t="shared" si="102"/>
        <v>4.6545607417231682E-2</v>
      </c>
      <c r="DF67" s="51">
        <f t="shared" si="102"/>
        <v>-5.7461304501862709E-2</v>
      </c>
      <c r="DG67" s="51">
        <f t="shared" si="102"/>
        <v>3.9214239697931141E-2</v>
      </c>
      <c r="DH67" s="51">
        <f t="shared" si="102"/>
        <v>-3.5129433701734936E-2</v>
      </c>
      <c r="DI67" s="51">
        <f t="shared" si="102"/>
        <v>-6.3942602237919255E-2</v>
      </c>
      <c r="DJ67" s="51">
        <f t="shared" si="102"/>
        <v>-3.2383424807164718E-2</v>
      </c>
      <c r="DK67" s="51">
        <f t="shared" si="102"/>
        <v>0.11357288639875396</v>
      </c>
      <c r="DL67" s="51">
        <f t="shared" si="102"/>
        <v>1.994694420124965E-2</v>
      </c>
      <c r="DM67" s="51">
        <f t="shared" si="102"/>
        <v>2.180406072995078E-3</v>
      </c>
      <c r="DN67" s="51">
        <f t="shared" si="102"/>
        <v>-5.517305101663128E-2</v>
      </c>
      <c r="DO67" s="51">
        <f t="shared" si="102"/>
        <v>-5.6692168377577179E-2</v>
      </c>
      <c r="DP67" s="51" t="str">
        <f t="shared" si="102"/>
        <v/>
      </c>
      <c r="DQ67" s="51" t="str">
        <f t="shared" si="102"/>
        <v/>
      </c>
      <c r="DR67" s="51" t="str">
        <f t="shared" si="102"/>
        <v/>
      </c>
      <c r="DS67" s="51" t="str">
        <f t="shared" si="102"/>
        <v/>
      </c>
      <c r="DT67" s="51" t="str">
        <f t="shared" si="102"/>
        <v/>
      </c>
      <c r="DU67" s="51" t="str">
        <f t="shared" si="102"/>
        <v/>
      </c>
      <c r="DV67" s="51" t="str">
        <f t="shared" si="102"/>
        <v/>
      </c>
      <c r="DW67" s="51" t="str">
        <f t="shared" si="102"/>
        <v/>
      </c>
      <c r="DX67" s="51" t="str">
        <f t="shared" si="102"/>
        <v/>
      </c>
      <c r="DY67" s="51" t="str">
        <f t="shared" si="102"/>
        <v/>
      </c>
      <c r="DZ67" s="51" t="str">
        <f t="shared" si="102"/>
        <v/>
      </c>
      <c r="EA67" s="51" t="str">
        <f t="shared" si="102"/>
        <v/>
      </c>
      <c r="EB67" s="51" t="str">
        <f t="shared" si="102"/>
        <v/>
      </c>
      <c r="EC67" s="51" t="str">
        <f t="shared" si="102"/>
        <v/>
      </c>
      <c r="ED67" s="51" t="str">
        <f t="shared" si="102"/>
        <v/>
      </c>
      <c r="EE67" s="51" t="str">
        <f t="shared" si="102"/>
        <v/>
      </c>
      <c r="EF67" s="51" t="str">
        <f t="shared" ref="EF67:EL67" si="103">IF(EF25="","",IF(ISERROR(EF25/EE25-1),"",EF25/EE25-1))</f>
        <v/>
      </c>
      <c r="EG67" s="51" t="str">
        <f t="shared" si="103"/>
        <v/>
      </c>
      <c r="EH67" s="51" t="str">
        <f t="shared" si="103"/>
        <v/>
      </c>
      <c r="EI67" s="51" t="str">
        <f t="shared" si="103"/>
        <v/>
      </c>
      <c r="EJ67" s="51" t="str">
        <f t="shared" si="103"/>
        <v/>
      </c>
      <c r="EK67" s="51" t="str">
        <f t="shared" si="103"/>
        <v/>
      </c>
      <c r="EL67" s="51" t="str">
        <f t="shared" si="103"/>
        <v/>
      </c>
    </row>
    <row r="68" spans="2:142" x14ac:dyDescent="0.25">
      <c r="B68" s="34">
        <f t="shared" si="18"/>
        <v>18</v>
      </c>
      <c r="C68" s="35" t="str">
        <f t="shared" si="18"/>
        <v>LECHUGA</v>
      </c>
      <c r="D68" s="36">
        <f t="shared" si="18"/>
        <v>1.8688000000000001E-3</v>
      </c>
      <c r="E68" s="36">
        <f t="shared" si="18"/>
        <v>1.5163169595767818E-2</v>
      </c>
      <c r="G68" s="51"/>
      <c r="H68" s="51" t="str">
        <f t="shared" ref="H68:AM68" si="104">IF(H26="","",IF(ISERROR(H26/G26-1),"",H26/G26-1))</f>
        <v/>
      </c>
      <c r="I68" s="51" t="str">
        <f t="shared" si="104"/>
        <v/>
      </c>
      <c r="J68" s="51">
        <f t="shared" si="104"/>
        <v>-0.1458166747938161</v>
      </c>
      <c r="K68" s="51">
        <f t="shared" si="104"/>
        <v>0.24917550859052739</v>
      </c>
      <c r="L68" s="51">
        <f t="shared" si="104"/>
        <v>8.5660233485329584E-3</v>
      </c>
      <c r="M68" s="51">
        <f t="shared" si="104"/>
        <v>0.17304952835504928</v>
      </c>
      <c r="N68" s="51">
        <f t="shared" si="104"/>
        <v>-7.5998458822021164E-2</v>
      </c>
      <c r="O68" s="51">
        <f t="shared" si="104"/>
        <v>-1.1602448759198025E-2</v>
      </c>
      <c r="P68" s="51">
        <f t="shared" si="104"/>
        <v>2.1888230875502179E-2</v>
      </c>
      <c r="Q68" s="51">
        <f t="shared" si="104"/>
        <v>6.3082747607478451E-2</v>
      </c>
      <c r="R68" s="51">
        <f t="shared" si="104"/>
        <v>0.12049906343652483</v>
      </c>
      <c r="S68" s="51">
        <f t="shared" si="104"/>
        <v>-1.7596023870938504E-2</v>
      </c>
      <c r="T68" s="51">
        <f t="shared" si="104"/>
        <v>-4.2243787490656715E-2</v>
      </c>
      <c r="U68" s="51">
        <f t="shared" si="104"/>
        <v>4.3540290264821202E-2</v>
      </c>
      <c r="V68" s="51">
        <f t="shared" si="104"/>
        <v>-0.1170399910290395</v>
      </c>
      <c r="W68" s="51">
        <f t="shared" si="104"/>
        <v>-4.0648856770697295E-2</v>
      </c>
      <c r="X68" s="51">
        <f t="shared" si="104"/>
        <v>0.14621972936758687</v>
      </c>
      <c r="Y68" s="51">
        <f t="shared" si="104"/>
        <v>7.7889225471929224E-2</v>
      </c>
      <c r="Z68" s="51">
        <f t="shared" si="104"/>
        <v>-2.4603558139812964E-2</v>
      </c>
      <c r="AA68" s="51">
        <f t="shared" si="104"/>
        <v>-4.2962735451290812E-2</v>
      </c>
      <c r="AB68" s="51">
        <f t="shared" si="104"/>
        <v>-0.19735862122625247</v>
      </c>
      <c r="AC68" s="51">
        <f t="shared" si="104"/>
        <v>-8.2399417779378425E-2</v>
      </c>
      <c r="AD68" s="51">
        <f t="shared" si="104"/>
        <v>0.26880286632900341</v>
      </c>
      <c r="AE68" s="51">
        <f t="shared" si="104"/>
        <v>0.1006207817790532</v>
      </c>
      <c r="AF68" s="51">
        <f t="shared" si="104"/>
        <v>-1.9676839582590144E-2</v>
      </c>
      <c r="AG68" s="51">
        <f t="shared" si="104"/>
        <v>3.2393670320884915E-2</v>
      </c>
      <c r="AH68" s="51">
        <f t="shared" si="104"/>
        <v>1.0093263714838763E-3</v>
      </c>
      <c r="AI68" s="51">
        <f t="shared" si="104"/>
        <v>1.9802735648034364E-2</v>
      </c>
      <c r="AJ68" s="51">
        <f t="shared" si="104"/>
        <v>4.4789872242683382E-2</v>
      </c>
      <c r="AK68" s="51">
        <f t="shared" si="104"/>
        <v>4.4169575319905174E-2</v>
      </c>
      <c r="AL68" s="51">
        <f t="shared" si="104"/>
        <v>0.11569087847397075</v>
      </c>
      <c r="AM68" s="51">
        <f t="shared" si="104"/>
        <v>-8.2625814657371732E-2</v>
      </c>
      <c r="AN68" s="51">
        <f t="shared" ref="AN68:BS68" si="105">IF(AN26="","",IF(ISERROR(AN26/AM26-1),"",AN26/AM26-1))</f>
        <v>-7.3281054500589304E-2</v>
      </c>
      <c r="AO68" s="51">
        <f t="shared" si="105"/>
        <v>-0.11169483233040012</v>
      </c>
      <c r="AP68" s="51">
        <f t="shared" si="105"/>
        <v>-6.7685745877814618E-2</v>
      </c>
      <c r="AQ68" s="51">
        <f t="shared" si="105"/>
        <v>7.9903529151018393E-2</v>
      </c>
      <c r="AR68" s="51">
        <f t="shared" si="105"/>
        <v>3.0928943223909044E-2</v>
      </c>
      <c r="AS68" s="51">
        <f t="shared" si="105"/>
        <v>0.20062336649525969</v>
      </c>
      <c r="AT68" s="51">
        <f t="shared" si="105"/>
        <v>-4.5385115117634434E-2</v>
      </c>
      <c r="AU68" s="51">
        <f t="shared" si="105"/>
        <v>-7.516720405263666E-2</v>
      </c>
      <c r="AV68" s="51">
        <f t="shared" si="105"/>
        <v>4.0201251862117759E-2</v>
      </c>
      <c r="AW68" s="51">
        <f t="shared" si="105"/>
        <v>5.2964888191890935E-3</v>
      </c>
      <c r="AX68" s="51">
        <f t="shared" si="105"/>
        <v>4.7999116958726162E-2</v>
      </c>
      <c r="AY68" s="51">
        <f t="shared" si="105"/>
        <v>-3.8310656686258104E-2</v>
      </c>
      <c r="AZ68" s="51">
        <f t="shared" si="105"/>
        <v>-7.9375187255750879E-2</v>
      </c>
      <c r="BA68" s="51">
        <f t="shared" si="105"/>
        <v>1.065902322021639E-4</v>
      </c>
      <c r="BB68" s="51">
        <f t="shared" si="105"/>
        <v>6.5477765371303454E-2</v>
      </c>
      <c r="BC68" s="51">
        <f t="shared" si="105"/>
        <v>2.4997112301225588E-2</v>
      </c>
      <c r="BD68" s="51">
        <f t="shared" si="105"/>
        <v>8.8705839934259512E-2</v>
      </c>
      <c r="BE68" s="51">
        <f t="shared" si="105"/>
        <v>-4.9009200091545857E-2</v>
      </c>
      <c r="BF68" s="51">
        <f t="shared" si="105"/>
        <v>-0.12186289274276818</v>
      </c>
      <c r="BG68" s="51">
        <f t="shared" si="105"/>
        <v>-0.10139644465630282</v>
      </c>
      <c r="BH68" s="51">
        <f t="shared" si="105"/>
        <v>-7.3068380783359865E-3</v>
      </c>
      <c r="BI68" s="51">
        <f t="shared" si="105"/>
        <v>9.701353154028669E-2</v>
      </c>
      <c r="BJ68" s="51">
        <f t="shared" si="105"/>
        <v>0.12945700217199518</v>
      </c>
      <c r="BK68" s="51">
        <f t="shared" si="105"/>
        <v>1.691239156383717E-2</v>
      </c>
      <c r="BL68" s="51">
        <f t="shared" si="105"/>
        <v>-8.2866621395367712E-2</v>
      </c>
      <c r="BM68" s="51">
        <f t="shared" si="105"/>
        <v>1.4372637453119674E-2</v>
      </c>
      <c r="BN68" s="51">
        <f t="shared" si="105"/>
        <v>1.2032580503704704E-3</v>
      </c>
      <c r="BO68" s="51">
        <f t="shared" si="105"/>
        <v>3.3717957926528097E-2</v>
      </c>
      <c r="BP68" s="51">
        <f t="shared" si="105"/>
        <v>3.7482787500606962E-2</v>
      </c>
      <c r="BQ68" s="51">
        <f t="shared" si="105"/>
        <v>5.5801591170641318E-2</v>
      </c>
      <c r="BR68" s="51">
        <f t="shared" si="105"/>
        <v>-0.10066024750034985</v>
      </c>
      <c r="BS68" s="51">
        <f t="shared" si="105"/>
        <v>-3.1488562904695927E-2</v>
      </c>
      <c r="BT68" s="51">
        <f t="shared" ref="BT68:CY68" si="106">IF(BT26="","",IF(ISERROR(BT26/BS26-1),"",BT26/BS26-1))</f>
        <v>8.0565129275519398E-2</v>
      </c>
      <c r="BU68" s="51">
        <f t="shared" si="106"/>
        <v>0.30842849514558957</v>
      </c>
      <c r="BV68" s="51">
        <f t="shared" si="106"/>
        <v>6.8067442796516886E-2</v>
      </c>
      <c r="BW68" s="51">
        <f t="shared" si="106"/>
        <v>-0.19684205890294493</v>
      </c>
      <c r="BX68" s="51">
        <f t="shared" si="106"/>
        <v>-0.12605757159466502</v>
      </c>
      <c r="BY68" s="51">
        <f t="shared" si="106"/>
        <v>-6.9530777456029869E-2</v>
      </c>
      <c r="BZ68" s="51">
        <f t="shared" si="106"/>
        <v>8.8770741526382757E-3</v>
      </c>
      <c r="CA68" s="51">
        <f t="shared" si="106"/>
        <v>9.6972632531594938E-2</v>
      </c>
      <c r="CB68" s="51">
        <f t="shared" si="106"/>
        <v>4.7514287344504247E-2</v>
      </c>
      <c r="CC68" s="51">
        <f t="shared" si="106"/>
        <v>6.0278212494349503E-2</v>
      </c>
      <c r="CD68" s="51">
        <f t="shared" si="106"/>
        <v>-4.7906438019799102E-2</v>
      </c>
      <c r="CE68" s="51">
        <f t="shared" si="106"/>
        <v>-8.1302937962085431E-2</v>
      </c>
      <c r="CF68" s="51">
        <f t="shared" si="106"/>
        <v>-3.8045129358605045E-2</v>
      </c>
      <c r="CG68" s="51">
        <f t="shared" si="106"/>
        <v>-2.7479656549319054E-2</v>
      </c>
      <c r="CH68" s="51">
        <f t="shared" si="106"/>
        <v>1.4244555482559429E-2</v>
      </c>
      <c r="CI68" s="51">
        <f t="shared" si="106"/>
        <v>5.5644227991697992E-3</v>
      </c>
      <c r="CJ68" s="51">
        <f t="shared" si="106"/>
        <v>-3.971545788070685E-3</v>
      </c>
      <c r="CK68" s="51">
        <f t="shared" si="106"/>
        <v>3.9877031104676997E-2</v>
      </c>
      <c r="CL68" s="51">
        <f t="shared" si="106"/>
        <v>3.2469987267425005E-2</v>
      </c>
      <c r="CM68" s="51">
        <f t="shared" si="106"/>
        <v>-4.5484510388686505E-2</v>
      </c>
      <c r="CN68" s="51">
        <f t="shared" si="106"/>
        <v>5.4745121485755277E-3</v>
      </c>
      <c r="CO68" s="51">
        <f t="shared" si="106"/>
        <v>4.7673445945499493E-2</v>
      </c>
      <c r="CP68" s="51">
        <f t="shared" si="106"/>
        <v>3.367246708934224E-2</v>
      </c>
      <c r="CQ68" s="51">
        <f t="shared" si="106"/>
        <v>0.13158050247030761</v>
      </c>
      <c r="CR68" s="51">
        <f t="shared" si="106"/>
        <v>4.7126402304228154E-2</v>
      </c>
      <c r="CS68" s="51">
        <f t="shared" si="106"/>
        <v>0.13907459842789049</v>
      </c>
      <c r="CT68" s="51">
        <f t="shared" si="106"/>
        <v>-7.6713098423005222E-2</v>
      </c>
      <c r="CU68" s="51">
        <f t="shared" si="106"/>
        <v>-3.1522973812870059E-2</v>
      </c>
      <c r="CV68" s="51">
        <f t="shared" si="106"/>
        <v>-8.4948442101426602E-2</v>
      </c>
      <c r="CW68" s="51">
        <f t="shared" si="106"/>
        <v>-9.4311104488674524E-2</v>
      </c>
      <c r="CX68" s="51">
        <f t="shared" si="106"/>
        <v>-2.3321326339177384E-3</v>
      </c>
      <c r="CY68" s="51">
        <f t="shared" si="106"/>
        <v>1.5738792816241354E-2</v>
      </c>
      <c r="CZ68" s="51">
        <f t="shared" ref="CZ68:EE68" si="107">IF(CZ26="","",IF(ISERROR(CZ26/CY26-1),"",CZ26/CY26-1))</f>
        <v>5.9811017330266614E-2</v>
      </c>
      <c r="DA68" s="51">
        <f t="shared" si="107"/>
        <v>5.4783610492544543E-2</v>
      </c>
      <c r="DB68" s="51">
        <f t="shared" si="107"/>
        <v>-1.6130090207417958E-2</v>
      </c>
      <c r="DC68" s="51">
        <f t="shared" si="107"/>
        <v>4.2257855350017248E-2</v>
      </c>
      <c r="DD68" s="51">
        <f t="shared" si="107"/>
        <v>5.6019724697258688E-2</v>
      </c>
      <c r="DE68" s="51">
        <f t="shared" si="107"/>
        <v>2.7683370961648412E-2</v>
      </c>
      <c r="DF68" s="51">
        <f t="shared" si="107"/>
        <v>-8.4925237210778048E-2</v>
      </c>
      <c r="DG68" s="51">
        <f t="shared" si="107"/>
        <v>-5.5808321254822824E-2</v>
      </c>
      <c r="DH68" s="51">
        <f t="shared" si="107"/>
        <v>-1.4890565463873018E-2</v>
      </c>
      <c r="DI68" s="51">
        <f t="shared" si="107"/>
        <v>-1.9584383091409974E-2</v>
      </c>
      <c r="DJ68" s="51">
        <f t="shared" si="107"/>
        <v>-4.2008501377645002E-2</v>
      </c>
      <c r="DK68" s="51">
        <f t="shared" si="107"/>
        <v>-3.460341048468929E-2</v>
      </c>
      <c r="DL68" s="51">
        <f t="shared" si="107"/>
        <v>6.8993997192297707E-2</v>
      </c>
      <c r="DM68" s="51">
        <f t="shared" si="107"/>
        <v>8.7933142991691637E-2</v>
      </c>
      <c r="DN68" s="51">
        <f t="shared" si="107"/>
        <v>1.3454160121832315E-2</v>
      </c>
      <c r="DO68" s="51">
        <f t="shared" si="107"/>
        <v>-7.042277217685311E-2</v>
      </c>
      <c r="DP68" s="51" t="str">
        <f t="shared" si="107"/>
        <v/>
      </c>
      <c r="DQ68" s="51" t="str">
        <f t="shared" si="107"/>
        <v/>
      </c>
      <c r="DR68" s="51" t="str">
        <f t="shared" si="107"/>
        <v/>
      </c>
      <c r="DS68" s="51" t="str">
        <f t="shared" si="107"/>
        <v/>
      </c>
      <c r="DT68" s="51" t="str">
        <f t="shared" si="107"/>
        <v/>
      </c>
      <c r="DU68" s="51" t="str">
        <f t="shared" si="107"/>
        <v/>
      </c>
      <c r="DV68" s="51" t="str">
        <f t="shared" si="107"/>
        <v/>
      </c>
      <c r="DW68" s="51" t="str">
        <f t="shared" si="107"/>
        <v/>
      </c>
      <c r="DX68" s="51" t="str">
        <f t="shared" si="107"/>
        <v/>
      </c>
      <c r="DY68" s="51" t="str">
        <f t="shared" si="107"/>
        <v/>
      </c>
      <c r="DZ68" s="51" t="str">
        <f t="shared" si="107"/>
        <v/>
      </c>
      <c r="EA68" s="51" t="str">
        <f t="shared" si="107"/>
        <v/>
      </c>
      <c r="EB68" s="51" t="str">
        <f t="shared" si="107"/>
        <v/>
      </c>
      <c r="EC68" s="51" t="str">
        <f t="shared" si="107"/>
        <v/>
      </c>
      <c r="ED68" s="51" t="str">
        <f t="shared" si="107"/>
        <v/>
      </c>
      <c r="EE68" s="51" t="str">
        <f t="shared" si="107"/>
        <v/>
      </c>
      <c r="EF68" s="51" t="str">
        <f t="shared" ref="EF68:EL68" si="108">IF(EF26="","",IF(ISERROR(EF26/EE26-1),"",EF26/EE26-1))</f>
        <v/>
      </c>
      <c r="EG68" s="51" t="str">
        <f t="shared" si="108"/>
        <v/>
      </c>
      <c r="EH68" s="51" t="str">
        <f t="shared" si="108"/>
        <v/>
      </c>
      <c r="EI68" s="51" t="str">
        <f t="shared" si="108"/>
        <v/>
      </c>
      <c r="EJ68" s="51" t="str">
        <f t="shared" si="108"/>
        <v/>
      </c>
      <c r="EK68" s="51" t="str">
        <f t="shared" si="108"/>
        <v/>
      </c>
      <c r="EL68" s="51" t="str">
        <f t="shared" si="108"/>
        <v/>
      </c>
    </row>
    <row r="69" spans="2:142" x14ac:dyDescent="0.25">
      <c r="B69" s="34">
        <f t="shared" si="18"/>
        <v>19</v>
      </c>
      <c r="C69" s="35" t="str">
        <f t="shared" si="18"/>
        <v>PAPA</v>
      </c>
      <c r="D69" s="36">
        <f t="shared" si="18"/>
        <v>4.3184E-3</v>
      </c>
      <c r="E69" s="36">
        <f t="shared" si="18"/>
        <v>3.5038865358713471E-2</v>
      </c>
      <c r="G69" s="51"/>
      <c r="H69" s="51" t="str">
        <f t="shared" ref="H69:AM69" si="109">IF(H27="","",IF(ISERROR(H27/G27-1),"",H27/G27-1))</f>
        <v/>
      </c>
      <c r="I69" s="51" t="str">
        <f t="shared" si="109"/>
        <v/>
      </c>
      <c r="J69" s="51">
        <f t="shared" si="109"/>
        <v>4.3976383298111488E-2</v>
      </c>
      <c r="K69" s="51">
        <f t="shared" si="109"/>
        <v>7.6913645068250602E-2</v>
      </c>
      <c r="L69" s="51">
        <f t="shared" si="109"/>
        <v>7.6737116934570748E-2</v>
      </c>
      <c r="M69" s="51">
        <f t="shared" si="109"/>
        <v>-4.054338110234379E-2</v>
      </c>
      <c r="N69" s="51">
        <f t="shared" si="109"/>
        <v>-0.11428636547125681</v>
      </c>
      <c r="O69" s="51">
        <f t="shared" si="109"/>
        <v>3.8996951104966371E-2</v>
      </c>
      <c r="P69" s="51">
        <f t="shared" si="109"/>
        <v>0.37310443613156608</v>
      </c>
      <c r="Q69" s="51">
        <f t="shared" si="109"/>
        <v>0.15546767988269883</v>
      </c>
      <c r="R69" s="51">
        <f t="shared" si="109"/>
        <v>0.13819200056381287</v>
      </c>
      <c r="S69" s="51">
        <f t="shared" si="109"/>
        <v>-0.16556850684764657</v>
      </c>
      <c r="T69" s="51">
        <f t="shared" si="109"/>
        <v>-0.22208625010370131</v>
      </c>
      <c r="U69" s="51">
        <f t="shared" si="109"/>
        <v>-0.33244713884452759</v>
      </c>
      <c r="V69" s="51">
        <f t="shared" si="109"/>
        <v>-0.23018025979826628</v>
      </c>
      <c r="W69" s="51">
        <f t="shared" si="109"/>
        <v>3.3119233561155426E-2</v>
      </c>
      <c r="X69" s="51">
        <f t="shared" si="109"/>
        <v>0.18449049122771921</v>
      </c>
      <c r="Y69" s="51">
        <f t="shared" si="109"/>
        <v>0.28671008109381391</v>
      </c>
      <c r="Z69" s="51">
        <f t="shared" si="109"/>
        <v>4.8516887431732769E-2</v>
      </c>
      <c r="AA69" s="51">
        <f t="shared" si="109"/>
        <v>0.34992978087959603</v>
      </c>
      <c r="AB69" s="51">
        <f t="shared" si="109"/>
        <v>-3.2328281337477782E-2</v>
      </c>
      <c r="AC69" s="51">
        <f t="shared" si="109"/>
        <v>-0.10960807895636882</v>
      </c>
      <c r="AD69" s="51">
        <f t="shared" si="109"/>
        <v>-0.20899151243911884</v>
      </c>
      <c r="AE69" s="51">
        <f t="shared" si="109"/>
        <v>-9.9033461036591497E-2</v>
      </c>
      <c r="AF69" s="51">
        <f t="shared" si="109"/>
        <v>-5.3272492110022163E-2</v>
      </c>
      <c r="AG69" s="51">
        <f t="shared" si="109"/>
        <v>4.6236486174935587E-2</v>
      </c>
      <c r="AH69" s="51">
        <f t="shared" si="109"/>
        <v>-5.2391098313164353E-2</v>
      </c>
      <c r="AI69" s="51">
        <f t="shared" si="109"/>
        <v>1.4233725067178682E-2</v>
      </c>
      <c r="AJ69" s="51">
        <f t="shared" si="109"/>
        <v>-5.9209312502654599E-2</v>
      </c>
      <c r="AK69" s="51">
        <f t="shared" si="109"/>
        <v>8.0843922879223484E-3</v>
      </c>
      <c r="AL69" s="51">
        <f t="shared" si="109"/>
        <v>8.2903136642538122E-2</v>
      </c>
      <c r="AM69" s="51">
        <f t="shared" si="109"/>
        <v>-5.1228490686573869E-2</v>
      </c>
      <c r="AN69" s="51">
        <f t="shared" ref="AN69:BS69" si="110">IF(AN27="","",IF(ISERROR(AN27/AM27-1),"",AN27/AM27-1))</f>
        <v>2.6191075533485764E-2</v>
      </c>
      <c r="AO69" s="51">
        <f t="shared" si="110"/>
        <v>5.9906284618696848E-2</v>
      </c>
      <c r="AP69" s="51">
        <f t="shared" si="110"/>
        <v>-0.10492032234620696</v>
      </c>
      <c r="AQ69" s="51">
        <f t="shared" si="110"/>
        <v>-0.13452591190376606</v>
      </c>
      <c r="AR69" s="51">
        <f t="shared" si="110"/>
        <v>8.2734419113706714E-2</v>
      </c>
      <c r="AS69" s="51">
        <f t="shared" si="110"/>
        <v>3.5216073768291833E-2</v>
      </c>
      <c r="AT69" s="51">
        <f t="shared" si="110"/>
        <v>-3.399693658637204E-2</v>
      </c>
      <c r="AU69" s="51">
        <f t="shared" si="110"/>
        <v>2.9880192271620754E-3</v>
      </c>
      <c r="AV69" s="51">
        <f t="shared" si="110"/>
        <v>-4.484141276319531E-2</v>
      </c>
      <c r="AW69" s="51">
        <f t="shared" si="110"/>
        <v>-2.7034169103698602E-2</v>
      </c>
      <c r="AX69" s="51">
        <f t="shared" si="110"/>
        <v>6.644510043107843E-5</v>
      </c>
      <c r="AY69" s="51">
        <f t="shared" si="110"/>
        <v>0.16919235899452212</v>
      </c>
      <c r="AZ69" s="51">
        <f t="shared" si="110"/>
        <v>7.6781679522652357E-2</v>
      </c>
      <c r="BA69" s="51">
        <f t="shared" si="110"/>
        <v>0.21323813235543354</v>
      </c>
      <c r="BB69" s="51">
        <f t="shared" si="110"/>
        <v>0.19004991707504448</v>
      </c>
      <c r="BC69" s="51">
        <f t="shared" si="110"/>
        <v>1.6888932677663338E-2</v>
      </c>
      <c r="BD69" s="51">
        <f t="shared" si="110"/>
        <v>3.1864185856641747E-2</v>
      </c>
      <c r="BE69" s="51">
        <f t="shared" si="110"/>
        <v>-9.297238926484408E-2</v>
      </c>
      <c r="BF69" s="51">
        <f t="shared" si="110"/>
        <v>-9.1182840263401843E-2</v>
      </c>
      <c r="BG69" s="51">
        <f t="shared" si="110"/>
        <v>-8.142527643068509E-2</v>
      </c>
      <c r="BH69" s="51">
        <f t="shared" si="110"/>
        <v>6.8145339585038434E-2</v>
      </c>
      <c r="BI69" s="51">
        <f t="shared" si="110"/>
        <v>6.7061214734152275E-2</v>
      </c>
      <c r="BJ69" s="51">
        <f t="shared" si="110"/>
        <v>7.8271842280331683E-2</v>
      </c>
      <c r="BK69" s="51">
        <f t="shared" si="110"/>
        <v>0.32912299700985015</v>
      </c>
      <c r="BL69" s="51">
        <f t="shared" si="110"/>
        <v>0.20929627251056737</v>
      </c>
      <c r="BM69" s="51">
        <f t="shared" si="110"/>
        <v>-0.22987690984727749</v>
      </c>
      <c r="BN69" s="51">
        <f t="shared" si="110"/>
        <v>-0.26801656862309309</v>
      </c>
      <c r="BO69" s="51">
        <f t="shared" si="110"/>
        <v>8.3674191465791914E-2</v>
      </c>
      <c r="BP69" s="51">
        <f t="shared" si="110"/>
        <v>-5.0051409003966874E-2</v>
      </c>
      <c r="BQ69" s="51">
        <f t="shared" si="110"/>
        <v>-1.8671513901895143E-2</v>
      </c>
      <c r="BR69" s="51">
        <f t="shared" si="110"/>
        <v>-7.4067566507306837E-2</v>
      </c>
      <c r="BS69" s="51">
        <f t="shared" si="110"/>
        <v>4.785329049835596E-2</v>
      </c>
      <c r="BT69" s="51">
        <f t="shared" ref="BT69:CY69" si="111">IF(BT27="","",IF(ISERROR(BT27/BS27-1),"",BT27/BS27-1))</f>
        <v>5.0070741088074078E-2</v>
      </c>
      <c r="BU69" s="51">
        <f t="shared" si="111"/>
        <v>4.0653486510380255E-3</v>
      </c>
      <c r="BV69" s="51">
        <f t="shared" si="111"/>
        <v>2.0764142734354119E-2</v>
      </c>
      <c r="BW69" s="51">
        <f t="shared" si="111"/>
        <v>0.22542983436520103</v>
      </c>
      <c r="BX69" s="51">
        <f t="shared" si="111"/>
        <v>0.22915176820634731</v>
      </c>
      <c r="BY69" s="51">
        <f t="shared" si="111"/>
        <v>0.10712543175810496</v>
      </c>
      <c r="BZ69" s="51">
        <f t="shared" si="111"/>
        <v>-0.2452612044018847</v>
      </c>
      <c r="CA69" s="51">
        <f t="shared" si="111"/>
        <v>-0.20146598519794523</v>
      </c>
      <c r="CB69" s="51">
        <f t="shared" si="111"/>
        <v>8.1895374287041189E-2</v>
      </c>
      <c r="CC69" s="51">
        <f t="shared" si="111"/>
        <v>1.4680423272048104E-2</v>
      </c>
      <c r="CD69" s="51">
        <f t="shared" si="111"/>
        <v>-4.5386380077233612E-2</v>
      </c>
      <c r="CE69" s="51">
        <f t="shared" si="111"/>
        <v>-5.6142432024900435E-3</v>
      </c>
      <c r="CF69" s="51">
        <f t="shared" si="111"/>
        <v>2.5421146877803169E-2</v>
      </c>
      <c r="CG69" s="51">
        <f t="shared" si="111"/>
        <v>3.9972389172229228E-2</v>
      </c>
      <c r="CH69" s="51">
        <f t="shared" si="111"/>
        <v>-1.0077709366756782E-2</v>
      </c>
      <c r="CI69" s="51">
        <f t="shared" si="111"/>
        <v>4.0881354443311091E-2</v>
      </c>
      <c r="CJ69" s="51">
        <f t="shared" si="111"/>
        <v>5.0513004870829104E-3</v>
      </c>
      <c r="CK69" s="51">
        <f t="shared" si="111"/>
        <v>2.2652473987272437E-3</v>
      </c>
      <c r="CL69" s="51">
        <f t="shared" si="111"/>
        <v>-1.4862655311664308E-2</v>
      </c>
      <c r="CM69" s="51">
        <f t="shared" si="111"/>
        <v>2.1426435744624772E-2</v>
      </c>
      <c r="CN69" s="51">
        <f t="shared" si="111"/>
        <v>-4.7888650362208129E-2</v>
      </c>
      <c r="CO69" s="51">
        <f t="shared" si="111"/>
        <v>1.7864585218221762E-2</v>
      </c>
      <c r="CP69" s="51">
        <f t="shared" si="111"/>
        <v>2.7962432063683762E-2</v>
      </c>
      <c r="CQ69" s="51">
        <f t="shared" si="111"/>
        <v>-1.9432146027464792E-2</v>
      </c>
      <c r="CR69" s="51">
        <f t="shared" si="111"/>
        <v>-3.7147475091552362E-3</v>
      </c>
      <c r="CS69" s="51">
        <f t="shared" si="111"/>
        <v>3.7066284367630375E-2</v>
      </c>
      <c r="CT69" s="51">
        <f t="shared" si="111"/>
        <v>0.20550472765714733</v>
      </c>
      <c r="CU69" s="51">
        <f t="shared" si="111"/>
        <v>6.7876097569075089E-2</v>
      </c>
      <c r="CV69" s="51">
        <f t="shared" si="111"/>
        <v>8.2795461829696437E-2</v>
      </c>
      <c r="CW69" s="51">
        <f t="shared" si="111"/>
        <v>8.7264808045924624E-2</v>
      </c>
      <c r="CX69" s="51">
        <f t="shared" si="111"/>
        <v>-0.1001935462841409</v>
      </c>
      <c r="CY69" s="51">
        <f t="shared" si="111"/>
        <v>-0.11210012506648814</v>
      </c>
      <c r="CZ69" s="51">
        <f t="shared" ref="CZ69:EE69" si="112">IF(CZ27="","",IF(ISERROR(CZ27/CY27-1),"",CZ27/CY27-1))</f>
        <v>-8.5789520393116936E-2</v>
      </c>
      <c r="DA69" s="51">
        <f t="shared" si="112"/>
        <v>-9.7941944452331953E-2</v>
      </c>
      <c r="DB69" s="51">
        <f t="shared" si="112"/>
        <v>-9.6969903309148675E-3</v>
      </c>
      <c r="DC69" s="51">
        <f t="shared" si="112"/>
        <v>2.2797532163786327E-2</v>
      </c>
      <c r="DD69" s="51">
        <f t="shared" si="112"/>
        <v>8.7288086555999289E-2</v>
      </c>
      <c r="DE69" s="51">
        <f t="shared" si="112"/>
        <v>-2.9916954592710598E-2</v>
      </c>
      <c r="DF69" s="51">
        <f t="shared" si="112"/>
        <v>2.5654775540661534E-2</v>
      </c>
      <c r="DG69" s="51">
        <f t="shared" si="112"/>
        <v>-1.6068196712083704E-2</v>
      </c>
      <c r="DH69" s="51">
        <f t="shared" si="112"/>
        <v>-3.4613769090663937E-2</v>
      </c>
      <c r="DI69" s="51">
        <f t="shared" si="112"/>
        <v>1.1023630926228156E-2</v>
      </c>
      <c r="DJ69" s="51">
        <f t="shared" si="112"/>
        <v>-9.3264073707669093E-2</v>
      </c>
      <c r="DK69" s="51">
        <f t="shared" si="112"/>
        <v>-5.933527002216632E-2</v>
      </c>
      <c r="DL69" s="51">
        <f t="shared" si="112"/>
        <v>2.747790156963692E-2</v>
      </c>
      <c r="DM69" s="51">
        <f t="shared" si="112"/>
        <v>-6.2811669941487125E-5</v>
      </c>
      <c r="DN69" s="51">
        <f t="shared" si="112"/>
        <v>-6.0406663895653301E-2</v>
      </c>
      <c r="DO69" s="51">
        <f t="shared" si="112"/>
        <v>-5.0428999908880834E-2</v>
      </c>
      <c r="DP69" s="51" t="str">
        <f t="shared" si="112"/>
        <v/>
      </c>
      <c r="DQ69" s="51" t="str">
        <f t="shared" si="112"/>
        <v/>
      </c>
      <c r="DR69" s="51" t="str">
        <f t="shared" si="112"/>
        <v/>
      </c>
      <c r="DS69" s="51" t="str">
        <f t="shared" si="112"/>
        <v/>
      </c>
      <c r="DT69" s="51" t="str">
        <f t="shared" si="112"/>
        <v/>
      </c>
      <c r="DU69" s="51" t="str">
        <f t="shared" si="112"/>
        <v/>
      </c>
      <c r="DV69" s="51" t="str">
        <f t="shared" si="112"/>
        <v/>
      </c>
      <c r="DW69" s="51" t="str">
        <f t="shared" si="112"/>
        <v/>
      </c>
      <c r="DX69" s="51" t="str">
        <f t="shared" si="112"/>
        <v/>
      </c>
      <c r="DY69" s="51" t="str">
        <f t="shared" si="112"/>
        <v/>
      </c>
      <c r="DZ69" s="51" t="str">
        <f t="shared" si="112"/>
        <v/>
      </c>
      <c r="EA69" s="51" t="str">
        <f t="shared" si="112"/>
        <v/>
      </c>
      <c r="EB69" s="51" t="str">
        <f t="shared" si="112"/>
        <v/>
      </c>
      <c r="EC69" s="51" t="str">
        <f t="shared" si="112"/>
        <v/>
      </c>
      <c r="ED69" s="51" t="str">
        <f t="shared" si="112"/>
        <v/>
      </c>
      <c r="EE69" s="51" t="str">
        <f t="shared" si="112"/>
        <v/>
      </c>
      <c r="EF69" s="51" t="str">
        <f t="shared" ref="EF69:EL69" si="113">IF(EF27="","",IF(ISERROR(EF27/EE27-1),"",EF27/EE27-1))</f>
        <v/>
      </c>
      <c r="EG69" s="51" t="str">
        <f t="shared" si="113"/>
        <v/>
      </c>
      <c r="EH69" s="51" t="str">
        <f t="shared" si="113"/>
        <v/>
      </c>
      <c r="EI69" s="51" t="str">
        <f t="shared" si="113"/>
        <v/>
      </c>
      <c r="EJ69" s="51" t="str">
        <f t="shared" si="113"/>
        <v/>
      </c>
      <c r="EK69" s="51" t="str">
        <f t="shared" si="113"/>
        <v/>
      </c>
      <c r="EL69" s="51" t="str">
        <f t="shared" si="113"/>
        <v/>
      </c>
    </row>
    <row r="70" spans="2:142" x14ac:dyDescent="0.25">
      <c r="B70" s="38">
        <f t="shared" si="18"/>
        <v>20</v>
      </c>
      <c r="C70" s="39" t="str">
        <f t="shared" si="18"/>
        <v>PIMENTÓN Y PIMIENTO</v>
      </c>
      <c r="D70" s="40">
        <f t="shared" si="18"/>
        <v>4.9709999999999999E-4</v>
      </c>
      <c r="E70" s="40">
        <f t="shared" si="18"/>
        <v>4.0333966213913644E-3</v>
      </c>
      <c r="G70" s="52"/>
      <c r="H70" s="52" t="str">
        <f t="shared" ref="H70:AM70" si="114">IF(H28="","",IF(ISERROR(H28/G28-1),"",H28/G28-1))</f>
        <v/>
      </c>
      <c r="I70" s="52" t="str">
        <f t="shared" si="114"/>
        <v/>
      </c>
      <c r="J70" s="52">
        <f t="shared" si="114"/>
        <v>3.1749856369902352E-2</v>
      </c>
      <c r="K70" s="52">
        <f t="shared" si="114"/>
        <v>0.15286009274095158</v>
      </c>
      <c r="L70" s="52">
        <f t="shared" si="114"/>
        <v>0.2751167989110872</v>
      </c>
      <c r="M70" s="52">
        <f t="shared" si="114"/>
        <v>0.14537125935470008</v>
      </c>
      <c r="N70" s="52">
        <f t="shared" si="114"/>
        <v>8.9595209839920198E-2</v>
      </c>
      <c r="O70" s="52">
        <f t="shared" si="114"/>
        <v>0.13167338976956167</v>
      </c>
      <c r="P70" s="52">
        <f t="shared" si="114"/>
        <v>3.0535191568987985E-2</v>
      </c>
      <c r="Q70" s="52">
        <f t="shared" si="114"/>
        <v>-6.4803877818370825E-2</v>
      </c>
      <c r="R70" s="52">
        <f t="shared" si="114"/>
        <v>-0.23962004722437269</v>
      </c>
      <c r="S70" s="52">
        <f t="shared" si="114"/>
        <v>3.0056428485635056E-2</v>
      </c>
      <c r="T70" s="52">
        <f t="shared" si="114"/>
        <v>-0.12311963348848065</v>
      </c>
      <c r="U70" s="52">
        <f t="shared" si="114"/>
        <v>-7.9767442239828568E-2</v>
      </c>
      <c r="V70" s="52">
        <f t="shared" si="114"/>
        <v>1.0817696430251544E-2</v>
      </c>
      <c r="W70" s="52">
        <f t="shared" si="114"/>
        <v>6.0121297259499107E-2</v>
      </c>
      <c r="X70" s="52">
        <f t="shared" si="114"/>
        <v>6.4660138750871621E-3</v>
      </c>
      <c r="Y70" s="52">
        <f t="shared" si="114"/>
        <v>0.42840353712654733</v>
      </c>
      <c r="Z70" s="52">
        <f t="shared" si="114"/>
        <v>0.24633640943561463</v>
      </c>
      <c r="AA70" s="52">
        <f t="shared" si="114"/>
        <v>0.25031544536598593</v>
      </c>
      <c r="AB70" s="52">
        <f t="shared" si="114"/>
        <v>6.5656832685845101E-2</v>
      </c>
      <c r="AC70" s="52">
        <f t="shared" si="114"/>
        <v>-0.29280382784481329</v>
      </c>
      <c r="AD70" s="52">
        <f t="shared" si="114"/>
        <v>-0.32217666773710896</v>
      </c>
      <c r="AE70" s="52">
        <f t="shared" si="114"/>
        <v>-5.750604183629715E-5</v>
      </c>
      <c r="AF70" s="52">
        <f t="shared" si="114"/>
        <v>-5.0916255834673185E-2</v>
      </c>
      <c r="AG70" s="52">
        <f t="shared" si="114"/>
        <v>-5.6591303996284092E-2</v>
      </c>
      <c r="AH70" s="52">
        <f t="shared" si="114"/>
        <v>3.0243477203956592E-2</v>
      </c>
      <c r="AI70" s="52">
        <f t="shared" si="114"/>
        <v>0.15434354408825146</v>
      </c>
      <c r="AJ70" s="52">
        <f t="shared" si="114"/>
        <v>0.1165770752328763</v>
      </c>
      <c r="AK70" s="52">
        <f t="shared" si="114"/>
        <v>0.29284118085222444</v>
      </c>
      <c r="AL70" s="52">
        <f t="shared" si="114"/>
        <v>0.22822031030440781</v>
      </c>
      <c r="AM70" s="52">
        <f t="shared" si="114"/>
        <v>0.16897602069159667</v>
      </c>
      <c r="AN70" s="52">
        <f t="shared" ref="AN70:BS70" si="115">IF(AN28="","",IF(ISERROR(AN28/AM28-1),"",AN28/AM28-1))</f>
        <v>-9.1534452248543285E-2</v>
      </c>
      <c r="AO70" s="52">
        <f t="shared" si="115"/>
        <v>-0.24404963193583107</v>
      </c>
      <c r="AP70" s="52">
        <f t="shared" si="115"/>
        <v>-0.29716231648454983</v>
      </c>
      <c r="AQ70" s="52">
        <f t="shared" si="115"/>
        <v>6.2807360444780524E-2</v>
      </c>
      <c r="AR70" s="52">
        <f t="shared" si="115"/>
        <v>-2.5474389323689839E-2</v>
      </c>
      <c r="AS70" s="52">
        <f t="shared" si="115"/>
        <v>-7.8258586723695456E-2</v>
      </c>
      <c r="AT70" s="52">
        <f t="shared" si="115"/>
        <v>5.1295975381797865E-2</v>
      </c>
      <c r="AU70" s="52">
        <f t="shared" si="115"/>
        <v>8.596844929059233E-2</v>
      </c>
      <c r="AV70" s="52">
        <f t="shared" si="115"/>
        <v>0.15911282285735351</v>
      </c>
      <c r="AW70" s="52">
        <f t="shared" si="115"/>
        <v>0.16137876096426562</v>
      </c>
      <c r="AX70" s="52">
        <f t="shared" si="115"/>
        <v>0.16051815578344475</v>
      </c>
      <c r="AY70" s="52">
        <f t="shared" si="115"/>
        <v>6.7058744462304531E-2</v>
      </c>
      <c r="AZ70" s="52">
        <f t="shared" si="115"/>
        <v>3.8249423644856062E-2</v>
      </c>
      <c r="BA70" s="52">
        <f t="shared" si="115"/>
        <v>-6.0470377172482381E-2</v>
      </c>
      <c r="BB70" s="52">
        <f t="shared" si="115"/>
        <v>-0.26181359721413122</v>
      </c>
      <c r="BC70" s="52">
        <f t="shared" si="115"/>
        <v>-6.0888441170658725E-2</v>
      </c>
      <c r="BD70" s="52">
        <f t="shared" si="115"/>
        <v>2.798075356679508E-2</v>
      </c>
      <c r="BE70" s="52">
        <f t="shared" si="115"/>
        <v>-9.2762454113185067E-2</v>
      </c>
      <c r="BF70" s="52">
        <f t="shared" si="115"/>
        <v>-6.0000630877040995E-2</v>
      </c>
      <c r="BG70" s="52">
        <f t="shared" si="115"/>
        <v>-6.7725367373071221E-2</v>
      </c>
      <c r="BH70" s="52">
        <f t="shared" si="115"/>
        <v>0.15286128924980491</v>
      </c>
      <c r="BI70" s="52">
        <f t="shared" si="115"/>
        <v>0.25084980006386837</v>
      </c>
      <c r="BJ70" s="52">
        <f t="shared" si="115"/>
        <v>0.20357728128621844</v>
      </c>
      <c r="BK70" s="52">
        <f t="shared" si="115"/>
        <v>0.24327958545846284</v>
      </c>
      <c r="BL70" s="52">
        <f t="shared" si="115"/>
        <v>-1.1589752624271976E-2</v>
      </c>
      <c r="BM70" s="52">
        <f t="shared" si="115"/>
        <v>-0.14469521667445939</v>
      </c>
      <c r="BN70" s="52">
        <f t="shared" si="115"/>
        <v>-0.28242657766884649</v>
      </c>
      <c r="BO70" s="52">
        <f t="shared" si="115"/>
        <v>9.8299462970331764E-2</v>
      </c>
      <c r="BP70" s="52">
        <f t="shared" si="115"/>
        <v>1.449271929923146E-2</v>
      </c>
      <c r="BQ70" s="52">
        <f t="shared" si="115"/>
        <v>4.7100967675187455E-2</v>
      </c>
      <c r="BR70" s="52">
        <f t="shared" si="115"/>
        <v>-0.13737770181551157</v>
      </c>
      <c r="BS70" s="52">
        <f t="shared" si="115"/>
        <v>3.009515933140583E-2</v>
      </c>
      <c r="BT70" s="52">
        <f t="shared" ref="BT70:CY70" si="116">IF(BT28="","",IF(ISERROR(BT28/BS28-1),"",BT28/BS28-1))</f>
        <v>0.46984051739922461</v>
      </c>
      <c r="BU70" s="52">
        <f t="shared" si="116"/>
        <v>0.18731382539834351</v>
      </c>
      <c r="BV70" s="52">
        <f t="shared" si="116"/>
        <v>0.12657707175492661</v>
      </c>
      <c r="BW70" s="52">
        <f t="shared" si="116"/>
        <v>5.0276324794326976E-2</v>
      </c>
      <c r="BX70" s="52">
        <f t="shared" si="116"/>
        <v>-0.12166031477900474</v>
      </c>
      <c r="BY70" s="52">
        <f t="shared" si="116"/>
        <v>-0.17718481591985913</v>
      </c>
      <c r="BZ70" s="52">
        <f t="shared" si="116"/>
        <v>-0.19313418848411035</v>
      </c>
      <c r="CA70" s="52">
        <f t="shared" si="116"/>
        <v>-2.7342334290540227E-2</v>
      </c>
      <c r="CB70" s="52">
        <f t="shared" si="116"/>
        <v>-7.7115413516848252E-2</v>
      </c>
      <c r="CC70" s="52">
        <f t="shared" si="116"/>
        <v>-1.9015885646376796E-2</v>
      </c>
      <c r="CD70" s="52">
        <f t="shared" si="116"/>
        <v>-5.6259235568328902E-3</v>
      </c>
      <c r="CE70" s="52">
        <f t="shared" si="116"/>
        <v>2.86185621395596E-2</v>
      </c>
      <c r="CF70" s="52">
        <f t="shared" si="116"/>
        <v>0.10137599964244748</v>
      </c>
      <c r="CG70" s="52">
        <f t="shared" si="116"/>
        <v>0.10336765716941376</v>
      </c>
      <c r="CH70" s="52">
        <f t="shared" si="116"/>
        <v>8.1425581144682235E-2</v>
      </c>
      <c r="CI70" s="52">
        <f t="shared" si="116"/>
        <v>0.1610541406302346</v>
      </c>
      <c r="CJ70" s="52">
        <f t="shared" si="116"/>
        <v>0.11363259629332334</v>
      </c>
      <c r="CK70" s="52">
        <f t="shared" si="116"/>
        <v>-7.4633908375106972E-2</v>
      </c>
      <c r="CL70" s="52">
        <f t="shared" si="116"/>
        <v>-0.15866075109329658</v>
      </c>
      <c r="CM70" s="52">
        <f t="shared" si="116"/>
        <v>-0.11829500899156187</v>
      </c>
      <c r="CN70" s="52">
        <f t="shared" si="116"/>
        <v>5.6761530828672857E-3</v>
      </c>
      <c r="CO70" s="52">
        <f t="shared" si="116"/>
        <v>-1.53105835260825E-3</v>
      </c>
      <c r="CP70" s="52">
        <f t="shared" si="116"/>
        <v>-8.1889976920543894E-3</v>
      </c>
      <c r="CQ70" s="52">
        <f t="shared" si="116"/>
        <v>2.5035326880493258E-2</v>
      </c>
      <c r="CR70" s="52">
        <f t="shared" si="116"/>
        <v>1.7717974499885436E-2</v>
      </c>
      <c r="CS70" s="52">
        <f t="shared" si="116"/>
        <v>8.8696686421227966E-3</v>
      </c>
      <c r="CT70" s="52">
        <f t="shared" si="116"/>
        <v>0.1512886985197559</v>
      </c>
      <c r="CU70" s="52">
        <f t="shared" si="116"/>
        <v>0.16413957406083646</v>
      </c>
      <c r="CV70" s="52">
        <f t="shared" si="116"/>
        <v>8.4774117248090697E-2</v>
      </c>
      <c r="CW70" s="52">
        <f t="shared" si="116"/>
        <v>-0.14257364157794028</v>
      </c>
      <c r="CX70" s="52">
        <f t="shared" si="116"/>
        <v>-5.7319876374359868E-3</v>
      </c>
      <c r="CY70" s="52">
        <f t="shared" si="116"/>
        <v>2.0178906445354805E-2</v>
      </c>
      <c r="CZ70" s="52">
        <f t="shared" ref="CZ70:EE70" si="117">IF(CZ28="","",IF(ISERROR(CZ28/CY28-1),"",CZ28/CY28-1))</f>
        <v>-4.6308705945380391E-3</v>
      </c>
      <c r="DA70" s="52">
        <f t="shared" si="117"/>
        <v>-7.243679230174993E-3</v>
      </c>
      <c r="DB70" s="52">
        <f t="shared" si="117"/>
        <v>-2.8070963606865562E-2</v>
      </c>
      <c r="DC70" s="52">
        <f t="shared" si="117"/>
        <v>1.9183754199773251E-2</v>
      </c>
      <c r="DD70" s="52">
        <f t="shared" si="117"/>
        <v>7.9944978513437182E-2</v>
      </c>
      <c r="DE70" s="52">
        <f t="shared" si="117"/>
        <v>2.676289777653218E-2</v>
      </c>
      <c r="DF70" s="52" t="str">
        <f t="shared" si="117"/>
        <v/>
      </c>
      <c r="DG70" s="52" t="str">
        <f t="shared" si="117"/>
        <v/>
      </c>
      <c r="DH70" s="52" t="str">
        <f t="shared" si="117"/>
        <v/>
      </c>
      <c r="DI70" s="52" t="str">
        <f t="shared" si="117"/>
        <v/>
      </c>
      <c r="DJ70" s="52" t="str">
        <f t="shared" si="117"/>
        <v/>
      </c>
      <c r="DK70" s="52" t="str">
        <f t="shared" si="117"/>
        <v/>
      </c>
      <c r="DL70" s="52" t="str">
        <f t="shared" si="117"/>
        <v/>
      </c>
      <c r="DM70" s="52" t="str">
        <f t="shared" si="117"/>
        <v/>
      </c>
      <c r="DN70" s="52" t="str">
        <f t="shared" si="117"/>
        <v/>
      </c>
      <c r="DO70" s="52" t="str">
        <f t="shared" si="117"/>
        <v/>
      </c>
      <c r="DP70" s="52" t="str">
        <f t="shared" si="117"/>
        <v/>
      </c>
      <c r="DQ70" s="52" t="str">
        <f t="shared" si="117"/>
        <v/>
      </c>
      <c r="DR70" s="52" t="str">
        <f t="shared" si="117"/>
        <v/>
      </c>
      <c r="DS70" s="52" t="str">
        <f t="shared" si="117"/>
        <v/>
      </c>
      <c r="DT70" s="52" t="str">
        <f t="shared" si="117"/>
        <v/>
      </c>
      <c r="DU70" s="52" t="str">
        <f t="shared" si="117"/>
        <v/>
      </c>
      <c r="DV70" s="52" t="str">
        <f t="shared" si="117"/>
        <v/>
      </c>
      <c r="DW70" s="52" t="str">
        <f t="shared" si="117"/>
        <v/>
      </c>
      <c r="DX70" s="52" t="str">
        <f t="shared" si="117"/>
        <v/>
      </c>
      <c r="DY70" s="52" t="str">
        <f t="shared" si="117"/>
        <v/>
      </c>
      <c r="DZ70" s="52" t="str">
        <f t="shared" si="117"/>
        <v/>
      </c>
      <c r="EA70" s="52" t="str">
        <f t="shared" si="117"/>
        <v/>
      </c>
      <c r="EB70" s="52" t="str">
        <f t="shared" si="117"/>
        <v/>
      </c>
      <c r="EC70" s="52" t="str">
        <f t="shared" si="117"/>
        <v/>
      </c>
      <c r="ED70" s="52" t="str">
        <f t="shared" si="117"/>
        <v/>
      </c>
      <c r="EE70" s="52" t="str">
        <f t="shared" si="117"/>
        <v/>
      </c>
      <c r="EF70" s="52" t="str">
        <f t="shared" ref="EF70:EL70" si="118">IF(EF28="","",IF(ISERROR(EF28/EE28-1),"",EF28/EE28-1))</f>
        <v/>
      </c>
      <c r="EG70" s="52" t="str">
        <f t="shared" si="118"/>
        <v/>
      </c>
      <c r="EH70" s="52" t="str">
        <f t="shared" si="118"/>
        <v/>
      </c>
      <c r="EI70" s="52" t="str">
        <f t="shared" si="118"/>
        <v/>
      </c>
      <c r="EJ70" s="52" t="str">
        <f t="shared" si="118"/>
        <v/>
      </c>
      <c r="EK70" s="52" t="str">
        <f t="shared" si="118"/>
        <v/>
      </c>
      <c r="EL70" s="52" t="str">
        <f t="shared" si="118"/>
        <v/>
      </c>
    </row>
    <row r="71" spans="2:142" x14ac:dyDescent="0.25">
      <c r="B71" s="18">
        <f t="shared" ref="B71:E90" si="119">B29</f>
        <v>21</v>
      </c>
      <c r="C71" s="42" t="str">
        <f t="shared" si="119"/>
        <v>TOMATE</v>
      </c>
      <c r="D71" s="43">
        <f t="shared" si="119"/>
        <v>3.6505000000000001E-3</v>
      </c>
      <c r="E71" s="43">
        <f t="shared" si="119"/>
        <v>2.961962254353083E-2</v>
      </c>
      <c r="G71" s="47"/>
      <c r="H71" s="47" t="str">
        <f t="shared" ref="H71:AM71" si="120">IF(H29="","",IF(ISERROR(H29/G29-1),"",H29/G29-1))</f>
        <v/>
      </c>
      <c r="I71" s="47" t="str">
        <f t="shared" si="120"/>
        <v/>
      </c>
      <c r="J71" s="47">
        <f t="shared" si="120"/>
        <v>0.16721182865000173</v>
      </c>
      <c r="K71" s="47">
        <f t="shared" si="120"/>
        <v>0.12462703671101516</v>
      </c>
      <c r="L71" s="47">
        <f t="shared" si="120"/>
        <v>-6.7349988360328017E-2</v>
      </c>
      <c r="M71" s="47">
        <f t="shared" si="120"/>
        <v>9.6337910654018533E-3</v>
      </c>
      <c r="N71" s="47">
        <f t="shared" si="120"/>
        <v>-9.8643145324102455E-2</v>
      </c>
      <c r="O71" s="47">
        <f t="shared" si="120"/>
        <v>0.24821858698800869</v>
      </c>
      <c r="P71" s="47">
        <f t="shared" si="120"/>
        <v>0.30940780839632831</v>
      </c>
      <c r="Q71" s="47">
        <f t="shared" si="120"/>
        <v>-0.11096340423782236</v>
      </c>
      <c r="R71" s="47">
        <f t="shared" si="120"/>
        <v>-1.3969619520373233E-2</v>
      </c>
      <c r="S71" s="47">
        <f t="shared" si="120"/>
        <v>-0.27891834624864009</v>
      </c>
      <c r="T71" s="47">
        <f t="shared" si="120"/>
        <v>-7.9887729532408747E-2</v>
      </c>
      <c r="U71" s="47">
        <f t="shared" si="120"/>
        <v>4.5087286319717812E-2</v>
      </c>
      <c r="V71" s="47">
        <f t="shared" si="120"/>
        <v>-7.1014088751334636E-2</v>
      </c>
      <c r="W71" s="47">
        <f t="shared" si="120"/>
        <v>0.16502663275705909</v>
      </c>
      <c r="X71" s="47">
        <f t="shared" si="120"/>
        <v>0.22815075005459318</v>
      </c>
      <c r="Y71" s="47">
        <f t="shared" si="120"/>
        <v>0.27360773325445509</v>
      </c>
      <c r="Z71" s="47">
        <f t="shared" si="120"/>
        <v>0.14465568933111972</v>
      </c>
      <c r="AA71" s="47">
        <f t="shared" si="120"/>
        <v>6.056307274706052E-2</v>
      </c>
      <c r="AB71" s="47">
        <f t="shared" si="120"/>
        <v>-0.13362352468210104</v>
      </c>
      <c r="AC71" s="47">
        <f t="shared" si="120"/>
        <v>-0.22344000609440084</v>
      </c>
      <c r="AD71" s="47">
        <f t="shared" si="120"/>
        <v>-2.0925539505079249E-2</v>
      </c>
      <c r="AE71" s="47">
        <f t="shared" si="120"/>
        <v>-2.8824983190380404E-2</v>
      </c>
      <c r="AF71" s="47">
        <f t="shared" si="120"/>
        <v>-0.21279275032342193</v>
      </c>
      <c r="AG71" s="47">
        <f t="shared" si="120"/>
        <v>-3.7482194131968516E-2</v>
      </c>
      <c r="AH71" s="47">
        <f t="shared" si="120"/>
        <v>-0.13766031423114156</v>
      </c>
      <c r="AI71" s="47">
        <f t="shared" si="120"/>
        <v>0.291367662310694</v>
      </c>
      <c r="AJ71" s="47">
        <f t="shared" si="120"/>
        <v>0.13752517717464863</v>
      </c>
      <c r="AK71" s="47">
        <f t="shared" si="120"/>
        <v>0.38307725124441672</v>
      </c>
      <c r="AL71" s="47">
        <f t="shared" si="120"/>
        <v>0.20243917961849145</v>
      </c>
      <c r="AM71" s="47">
        <f t="shared" si="120"/>
        <v>0.23966325661423205</v>
      </c>
      <c r="AN71" s="47">
        <f t="shared" ref="AN71:BS71" si="121">IF(AN29="","",IF(ISERROR(AN29/AM29-1),"",AN29/AM29-1))</f>
        <v>8.8086192914177852E-2</v>
      </c>
      <c r="AO71" s="47">
        <f t="shared" si="121"/>
        <v>-0.34148373074866123</v>
      </c>
      <c r="AP71" s="47">
        <f t="shared" si="121"/>
        <v>-0.32173272611786785</v>
      </c>
      <c r="AQ71" s="47">
        <f t="shared" si="121"/>
        <v>-0.25296302481807065</v>
      </c>
      <c r="AR71" s="47">
        <f t="shared" si="121"/>
        <v>6.3745135357484495E-2</v>
      </c>
      <c r="AS71" s="47">
        <f t="shared" si="121"/>
        <v>6.7352747650742062E-2</v>
      </c>
      <c r="AT71" s="47">
        <f t="shared" si="121"/>
        <v>5.4252029365830845E-2</v>
      </c>
      <c r="AU71" s="47">
        <f t="shared" si="121"/>
        <v>0.13952163754478208</v>
      </c>
      <c r="AV71" s="47">
        <f t="shared" si="121"/>
        <v>0.28115911700411234</v>
      </c>
      <c r="AW71" s="47">
        <f t="shared" si="121"/>
        <v>-7.1557394377415817E-2</v>
      </c>
      <c r="AX71" s="47">
        <f t="shared" si="121"/>
        <v>-7.2532852000592007E-2</v>
      </c>
      <c r="AY71" s="47">
        <f t="shared" si="121"/>
        <v>0.63391944016944324</v>
      </c>
      <c r="AZ71" s="47">
        <f t="shared" si="121"/>
        <v>8.2052892662205945E-2</v>
      </c>
      <c r="BA71" s="47">
        <f t="shared" si="121"/>
        <v>-0.1413861222174182</v>
      </c>
      <c r="BB71" s="47">
        <f t="shared" si="121"/>
        <v>-0.35261904753760231</v>
      </c>
      <c r="BC71" s="47">
        <f t="shared" si="121"/>
        <v>-9.5891134225240537E-2</v>
      </c>
      <c r="BD71" s="47">
        <f t="shared" si="121"/>
        <v>6.2513187846697793E-3</v>
      </c>
      <c r="BE71" s="47">
        <f t="shared" si="121"/>
        <v>1.2421238886080932E-2</v>
      </c>
      <c r="BF71" s="47">
        <f t="shared" si="121"/>
        <v>-7.3697786384494979E-2</v>
      </c>
      <c r="BG71" s="47">
        <f t="shared" si="121"/>
        <v>3.6855270869276646E-2</v>
      </c>
      <c r="BH71" s="47">
        <f t="shared" si="121"/>
        <v>1.8904818545739221E-2</v>
      </c>
      <c r="BI71" s="47">
        <f t="shared" si="121"/>
        <v>-4.0629172796313173E-2</v>
      </c>
      <c r="BJ71" s="47">
        <f t="shared" si="121"/>
        <v>0.18039097048113972</v>
      </c>
      <c r="BK71" s="47">
        <f t="shared" si="121"/>
        <v>0.33482731051606107</v>
      </c>
      <c r="BL71" s="47">
        <f t="shared" si="121"/>
        <v>1.7253958607131636E-2</v>
      </c>
      <c r="BM71" s="47">
        <f t="shared" si="121"/>
        <v>-0.16019878872186477</v>
      </c>
      <c r="BN71" s="47">
        <f t="shared" si="121"/>
        <v>-0.20618662922511888</v>
      </c>
      <c r="BO71" s="47">
        <f t="shared" si="121"/>
        <v>0.14198973811244309</v>
      </c>
      <c r="BP71" s="47">
        <f t="shared" si="121"/>
        <v>-2.9233103445483466E-2</v>
      </c>
      <c r="BQ71" s="47">
        <f t="shared" si="121"/>
        <v>2.2601184560793186E-2</v>
      </c>
      <c r="BR71" s="47">
        <f t="shared" si="121"/>
        <v>-0.29091468564107825</v>
      </c>
      <c r="BS71" s="47">
        <f t="shared" si="121"/>
        <v>8.0890634452571053E-2</v>
      </c>
      <c r="BT71" s="47">
        <f t="shared" ref="BT71:CY71" si="122">IF(BT29="","",IF(ISERROR(BT29/BS29-1),"",BT29/BS29-1))</f>
        <v>0.45616815690238943</v>
      </c>
      <c r="BU71" s="47">
        <f t="shared" si="122"/>
        <v>6.0711317136785015E-2</v>
      </c>
      <c r="BV71" s="47">
        <f t="shared" si="122"/>
        <v>-0.10687661935048076</v>
      </c>
      <c r="BW71" s="47">
        <f t="shared" si="122"/>
        <v>5.9060208640592471E-2</v>
      </c>
      <c r="BX71" s="47">
        <f t="shared" si="122"/>
        <v>0.18572775121759899</v>
      </c>
      <c r="BY71" s="47">
        <f t="shared" si="122"/>
        <v>-0.15379347936957288</v>
      </c>
      <c r="BZ71" s="47">
        <f t="shared" si="122"/>
        <v>-0.21877261000779091</v>
      </c>
      <c r="CA71" s="47">
        <f t="shared" si="122"/>
        <v>-7.2686138222663343E-2</v>
      </c>
      <c r="CB71" s="47">
        <f t="shared" si="122"/>
        <v>-5.9689920653911321E-2</v>
      </c>
      <c r="CC71" s="47">
        <f t="shared" si="122"/>
        <v>-3.2926789437910386E-3</v>
      </c>
      <c r="CD71" s="47">
        <f t="shared" si="122"/>
        <v>0.12225743000193057</v>
      </c>
      <c r="CE71" s="47">
        <f t="shared" si="122"/>
        <v>-3.901474894854462E-2</v>
      </c>
      <c r="CF71" s="47">
        <f t="shared" si="122"/>
        <v>3.6560910118268009E-2</v>
      </c>
      <c r="CG71" s="47">
        <f t="shared" si="122"/>
        <v>-2.3284713886350783E-2</v>
      </c>
      <c r="CH71" s="47">
        <f t="shared" si="122"/>
        <v>8.5846045195038911E-2</v>
      </c>
      <c r="CI71" s="47">
        <f t="shared" si="122"/>
        <v>0.49637754050600535</v>
      </c>
      <c r="CJ71" s="47">
        <f t="shared" si="122"/>
        <v>0.36382719105773953</v>
      </c>
      <c r="CK71" s="47">
        <f t="shared" si="122"/>
        <v>-0.1966895905135021</v>
      </c>
      <c r="CL71" s="47">
        <f t="shared" si="122"/>
        <v>-0.26398418443759131</v>
      </c>
      <c r="CM71" s="47">
        <f t="shared" si="122"/>
        <v>-7.7096758174305613E-2</v>
      </c>
      <c r="CN71" s="47">
        <f t="shared" si="122"/>
        <v>-0.17505383463220092</v>
      </c>
      <c r="CO71" s="47">
        <f t="shared" si="122"/>
        <v>-3.7069697924479894E-2</v>
      </c>
      <c r="CP71" s="47">
        <f t="shared" si="122"/>
        <v>6.4577176094135824E-2</v>
      </c>
      <c r="CQ71" s="47">
        <f t="shared" si="122"/>
        <v>0.14160024563888496</v>
      </c>
      <c r="CR71" s="47">
        <f t="shared" si="122"/>
        <v>-1.9666190082333723E-2</v>
      </c>
      <c r="CS71" s="47">
        <f t="shared" si="122"/>
        <v>3.242565376599793E-2</v>
      </c>
      <c r="CT71" s="47">
        <f t="shared" si="122"/>
        <v>6.243229214663093E-2</v>
      </c>
      <c r="CU71" s="47">
        <f t="shared" si="122"/>
        <v>0.2975906393085106</v>
      </c>
      <c r="CV71" s="47">
        <f t="shared" si="122"/>
        <v>-3.3731255419063078E-2</v>
      </c>
      <c r="CW71" s="47">
        <f t="shared" si="122"/>
        <v>-0.12747979503086104</v>
      </c>
      <c r="CX71" s="47">
        <f t="shared" si="122"/>
        <v>-0.10007748203990463</v>
      </c>
      <c r="CY71" s="47">
        <f t="shared" si="122"/>
        <v>8.3688938519541622E-3</v>
      </c>
      <c r="CZ71" s="47">
        <f t="shared" ref="CZ71:EE71" si="123">IF(CZ29="","",IF(ISERROR(CZ29/CY29-1),"",CZ29/CY29-1))</f>
        <v>-5.2997711986203844E-2</v>
      </c>
      <c r="DA71" s="47">
        <f t="shared" si="123"/>
        <v>-1.5322855801203628E-2</v>
      </c>
      <c r="DB71" s="47">
        <f t="shared" si="123"/>
        <v>-9.9748929184890756E-3</v>
      </c>
      <c r="DC71" s="47">
        <f t="shared" si="123"/>
        <v>0.35524846492091311</v>
      </c>
      <c r="DD71" s="47">
        <f t="shared" si="123"/>
        <v>6.9838013362605977E-2</v>
      </c>
      <c r="DE71" s="47">
        <f t="shared" si="123"/>
        <v>-0.13436773810589042</v>
      </c>
      <c r="DF71" s="47">
        <f t="shared" si="123"/>
        <v>0.20846810618345368</v>
      </c>
      <c r="DG71" s="47">
        <f t="shared" si="123"/>
        <v>0.45095721764786867</v>
      </c>
      <c r="DH71" s="47">
        <f t="shared" si="123"/>
        <v>-0.1250247353570737</v>
      </c>
      <c r="DI71" s="47">
        <f t="shared" si="123"/>
        <v>-0.37888093740288242</v>
      </c>
      <c r="DJ71" s="47">
        <f t="shared" si="123"/>
        <v>-0.16224048796656776</v>
      </c>
      <c r="DK71" s="47">
        <f t="shared" si="123"/>
        <v>-6.7765439729746579E-2</v>
      </c>
      <c r="DL71" s="47">
        <f t="shared" si="123"/>
        <v>5.0474225676233608E-3</v>
      </c>
      <c r="DM71" s="47">
        <f t="shared" si="123"/>
        <v>0.20821531706888097</v>
      </c>
      <c r="DN71" s="48">
        <f t="shared" si="123"/>
        <v>0.12926007784330706</v>
      </c>
      <c r="DO71" s="47">
        <f t="shared" si="123"/>
        <v>2.0266788458841667E-2</v>
      </c>
      <c r="DP71" s="47" t="str">
        <f t="shared" si="123"/>
        <v/>
      </c>
      <c r="DQ71" s="47" t="str">
        <f t="shared" si="123"/>
        <v/>
      </c>
      <c r="DR71" s="47" t="str">
        <f t="shared" si="123"/>
        <v/>
      </c>
      <c r="DS71" s="47" t="str">
        <f t="shared" si="123"/>
        <v/>
      </c>
      <c r="DT71" s="47" t="str">
        <f t="shared" si="123"/>
        <v/>
      </c>
      <c r="DU71" s="47" t="str">
        <f t="shared" si="123"/>
        <v/>
      </c>
      <c r="DV71" s="47" t="str">
        <f t="shared" si="123"/>
        <v/>
      </c>
      <c r="DW71" s="47" t="str">
        <f t="shared" si="123"/>
        <v/>
      </c>
      <c r="DX71" s="47" t="str">
        <f t="shared" si="123"/>
        <v/>
      </c>
      <c r="DY71" s="47" t="str">
        <f t="shared" si="123"/>
        <v/>
      </c>
      <c r="DZ71" s="47" t="str">
        <f t="shared" si="123"/>
        <v/>
      </c>
      <c r="EA71" s="47" t="str">
        <f t="shared" si="123"/>
        <v/>
      </c>
      <c r="EB71" s="47" t="str">
        <f t="shared" si="123"/>
        <v/>
      </c>
      <c r="EC71" s="47" t="str">
        <f t="shared" si="123"/>
        <v/>
      </c>
      <c r="ED71" s="47" t="str">
        <f t="shared" si="123"/>
        <v/>
      </c>
      <c r="EE71" s="47" t="str">
        <f t="shared" si="123"/>
        <v/>
      </c>
      <c r="EF71" s="47" t="str">
        <f t="shared" ref="EF71:EL71" si="124">IF(EF29="","",IF(ISERROR(EF29/EE29-1),"",EF29/EE29-1))</f>
        <v/>
      </c>
      <c r="EG71" s="47" t="str">
        <f t="shared" si="124"/>
        <v/>
      </c>
      <c r="EH71" s="47" t="str">
        <f t="shared" si="124"/>
        <v/>
      </c>
      <c r="EI71" s="47" t="str">
        <f t="shared" si="124"/>
        <v/>
      </c>
      <c r="EJ71" s="47" t="str">
        <f t="shared" si="124"/>
        <v/>
      </c>
      <c r="EK71" s="47" t="str">
        <f t="shared" si="124"/>
        <v/>
      </c>
      <c r="EL71" s="47" t="str">
        <f t="shared" si="124"/>
        <v/>
      </c>
    </row>
    <row r="72" spans="2:142" x14ac:dyDescent="0.25">
      <c r="B72" s="22">
        <f t="shared" si="119"/>
        <v>22</v>
      </c>
      <c r="C72" s="23" t="str">
        <f t="shared" si="119"/>
        <v>ZANAHORIA</v>
      </c>
      <c r="D72" s="24">
        <f t="shared" si="119"/>
        <v>8.384E-4</v>
      </c>
      <c r="E72" s="24">
        <f t="shared" si="119"/>
        <v>6.8026548528958355E-3</v>
      </c>
      <c r="G72" s="48"/>
      <c r="H72" s="48" t="str">
        <f t="shared" ref="H72:AM72" si="125">IF(H30="","",IF(ISERROR(H30/G30-1),"",H30/G30-1))</f>
        <v/>
      </c>
      <c r="I72" s="48" t="str">
        <f t="shared" si="125"/>
        <v/>
      </c>
      <c r="J72" s="48" t="str">
        <f t="shared" si="125"/>
        <v/>
      </c>
      <c r="K72" s="48" t="str">
        <f t="shared" si="125"/>
        <v/>
      </c>
      <c r="L72" s="48" t="str">
        <f t="shared" si="125"/>
        <v/>
      </c>
      <c r="M72" s="48" t="str">
        <f t="shared" si="125"/>
        <v/>
      </c>
      <c r="N72" s="48" t="str">
        <f t="shared" si="125"/>
        <v/>
      </c>
      <c r="O72" s="48" t="str">
        <f t="shared" si="125"/>
        <v/>
      </c>
      <c r="P72" s="48" t="str">
        <f t="shared" si="125"/>
        <v/>
      </c>
      <c r="Q72" s="48" t="str">
        <f t="shared" si="125"/>
        <v/>
      </c>
      <c r="R72" s="48" t="str">
        <f t="shared" si="125"/>
        <v/>
      </c>
      <c r="S72" s="48" t="str">
        <f t="shared" si="125"/>
        <v/>
      </c>
      <c r="T72" s="48" t="str">
        <f t="shared" si="125"/>
        <v/>
      </c>
      <c r="U72" s="48" t="str">
        <f t="shared" si="125"/>
        <v/>
      </c>
      <c r="V72" s="48" t="str">
        <f t="shared" si="125"/>
        <v/>
      </c>
      <c r="W72" s="48" t="str">
        <f t="shared" si="125"/>
        <v/>
      </c>
      <c r="X72" s="48" t="str">
        <f t="shared" si="125"/>
        <v/>
      </c>
      <c r="Y72" s="48" t="str">
        <f t="shared" si="125"/>
        <v/>
      </c>
      <c r="Z72" s="48" t="str">
        <f t="shared" si="125"/>
        <v/>
      </c>
      <c r="AA72" s="48" t="str">
        <f t="shared" si="125"/>
        <v/>
      </c>
      <c r="AB72" s="48" t="str">
        <f t="shared" si="125"/>
        <v/>
      </c>
      <c r="AC72" s="48" t="str">
        <f t="shared" si="125"/>
        <v/>
      </c>
      <c r="AD72" s="48" t="str">
        <f t="shared" si="125"/>
        <v/>
      </c>
      <c r="AE72" s="48" t="str">
        <f t="shared" si="125"/>
        <v/>
      </c>
      <c r="AF72" s="48" t="str">
        <f t="shared" si="125"/>
        <v/>
      </c>
      <c r="AG72" s="48" t="str">
        <f t="shared" si="125"/>
        <v/>
      </c>
      <c r="AH72" s="48" t="str">
        <f t="shared" si="125"/>
        <v/>
      </c>
      <c r="AI72" s="48" t="str">
        <f t="shared" si="125"/>
        <v/>
      </c>
      <c r="AJ72" s="48" t="str">
        <f t="shared" si="125"/>
        <v/>
      </c>
      <c r="AK72" s="48" t="str">
        <f t="shared" si="125"/>
        <v/>
      </c>
      <c r="AL72" s="48" t="str">
        <f t="shared" si="125"/>
        <v/>
      </c>
      <c r="AM72" s="48" t="str">
        <f t="shared" si="125"/>
        <v/>
      </c>
      <c r="AN72" s="48" t="str">
        <f t="shared" ref="AN72:BS72" si="126">IF(AN30="","",IF(ISERROR(AN30/AM30-1),"",AN30/AM30-1))</f>
        <v/>
      </c>
      <c r="AO72" s="48" t="str">
        <f t="shared" si="126"/>
        <v/>
      </c>
      <c r="AP72" s="48" t="str">
        <f t="shared" si="126"/>
        <v/>
      </c>
      <c r="AQ72" s="48" t="str">
        <f t="shared" si="126"/>
        <v/>
      </c>
      <c r="AR72" s="48" t="str">
        <f t="shared" si="126"/>
        <v/>
      </c>
      <c r="AS72" s="48" t="str">
        <f t="shared" si="126"/>
        <v/>
      </c>
      <c r="AT72" s="48" t="str">
        <f t="shared" si="126"/>
        <v/>
      </c>
      <c r="AU72" s="48" t="str">
        <f t="shared" si="126"/>
        <v/>
      </c>
      <c r="AV72" s="48" t="str">
        <f t="shared" si="126"/>
        <v/>
      </c>
      <c r="AW72" s="48" t="str">
        <f t="shared" si="126"/>
        <v/>
      </c>
      <c r="AX72" s="48" t="str">
        <f t="shared" si="126"/>
        <v/>
      </c>
      <c r="AY72" s="48" t="str">
        <f t="shared" si="126"/>
        <v/>
      </c>
      <c r="AZ72" s="48" t="str">
        <f t="shared" si="126"/>
        <v/>
      </c>
      <c r="BA72" s="48" t="str">
        <f t="shared" si="126"/>
        <v/>
      </c>
      <c r="BB72" s="48" t="str">
        <f t="shared" si="126"/>
        <v/>
      </c>
      <c r="BC72" s="48" t="str">
        <f t="shared" si="126"/>
        <v/>
      </c>
      <c r="BD72" s="48" t="str">
        <f t="shared" si="126"/>
        <v/>
      </c>
      <c r="BE72" s="48" t="str">
        <f t="shared" si="126"/>
        <v/>
      </c>
      <c r="BF72" s="48" t="str">
        <f t="shared" si="126"/>
        <v/>
      </c>
      <c r="BG72" s="48" t="str">
        <f t="shared" si="126"/>
        <v/>
      </c>
      <c r="BH72" s="48" t="str">
        <f t="shared" si="126"/>
        <v/>
      </c>
      <c r="BI72" s="48" t="str">
        <f t="shared" si="126"/>
        <v/>
      </c>
      <c r="BJ72" s="48" t="str">
        <f t="shared" si="126"/>
        <v/>
      </c>
      <c r="BK72" s="48" t="str">
        <f t="shared" si="126"/>
        <v/>
      </c>
      <c r="BL72" s="48" t="str">
        <f t="shared" si="126"/>
        <v/>
      </c>
      <c r="BM72" s="48" t="str">
        <f t="shared" si="126"/>
        <v/>
      </c>
      <c r="BN72" s="48" t="str">
        <f t="shared" si="126"/>
        <v/>
      </c>
      <c r="BO72" s="48" t="str">
        <f t="shared" si="126"/>
        <v/>
      </c>
      <c r="BP72" s="48" t="str">
        <f t="shared" si="126"/>
        <v/>
      </c>
      <c r="BQ72" s="48" t="str">
        <f t="shared" si="126"/>
        <v/>
      </c>
      <c r="BR72" s="48" t="str">
        <f t="shared" si="126"/>
        <v/>
      </c>
      <c r="BS72" s="48" t="str">
        <f t="shared" si="126"/>
        <v/>
      </c>
      <c r="BT72" s="48" t="str">
        <f t="shared" ref="BT72:CY72" si="127">IF(BT30="","",IF(ISERROR(BT30/BS30-1),"",BT30/BS30-1))</f>
        <v/>
      </c>
      <c r="BU72" s="48" t="str">
        <f t="shared" si="127"/>
        <v/>
      </c>
      <c r="BV72" s="48" t="str">
        <f t="shared" si="127"/>
        <v/>
      </c>
      <c r="BW72" s="48" t="str">
        <f t="shared" si="127"/>
        <v/>
      </c>
      <c r="BX72" s="48" t="str">
        <f t="shared" si="127"/>
        <v/>
      </c>
      <c r="BY72" s="48" t="str">
        <f t="shared" si="127"/>
        <v/>
      </c>
      <c r="BZ72" s="48" t="str">
        <f t="shared" si="127"/>
        <v/>
      </c>
      <c r="CA72" s="48" t="str">
        <f t="shared" si="127"/>
        <v/>
      </c>
      <c r="CB72" s="48" t="str">
        <f t="shared" si="127"/>
        <v/>
      </c>
      <c r="CC72" s="48" t="str">
        <f t="shared" si="127"/>
        <v/>
      </c>
      <c r="CD72" s="48" t="str">
        <f t="shared" si="127"/>
        <v/>
      </c>
      <c r="CE72" s="48" t="str">
        <f t="shared" si="127"/>
        <v/>
      </c>
      <c r="CF72" s="48" t="str">
        <f t="shared" si="127"/>
        <v/>
      </c>
      <c r="CG72" s="48" t="str">
        <f t="shared" si="127"/>
        <v/>
      </c>
      <c r="CH72" s="48" t="str">
        <f t="shared" si="127"/>
        <v/>
      </c>
      <c r="CI72" s="48" t="str">
        <f t="shared" si="127"/>
        <v/>
      </c>
      <c r="CJ72" s="48" t="str">
        <f t="shared" si="127"/>
        <v/>
      </c>
      <c r="CK72" s="48">
        <f t="shared" si="127"/>
        <v>0.43921698246277452</v>
      </c>
      <c r="CL72" s="48">
        <f t="shared" si="127"/>
        <v>0.13048875446734209</v>
      </c>
      <c r="CM72" s="48">
        <f t="shared" si="127"/>
        <v>-3.5532326636976697E-3</v>
      </c>
      <c r="CN72" s="48">
        <f t="shared" si="127"/>
        <v>2.2744425022564574E-2</v>
      </c>
      <c r="CO72" s="48">
        <f t="shared" si="127"/>
        <v>-1.2516936420584157E-2</v>
      </c>
      <c r="CP72" s="48">
        <f t="shared" si="127"/>
        <v>-1.6066727119556923E-4</v>
      </c>
      <c r="CQ72" s="48">
        <f t="shared" si="127"/>
        <v>1.3710760083754714E-2</v>
      </c>
      <c r="CR72" s="48">
        <f t="shared" si="127"/>
        <v>-1.7569006648169405E-2</v>
      </c>
      <c r="CS72" s="48">
        <f t="shared" si="127"/>
        <v>-4.1966057695578263E-3</v>
      </c>
      <c r="CT72" s="48">
        <f t="shared" si="127"/>
        <v>1.9833691304043555E-2</v>
      </c>
      <c r="CU72" s="48">
        <f t="shared" si="127"/>
        <v>5.7838298057228954E-3</v>
      </c>
      <c r="CV72" s="48">
        <f t="shared" si="127"/>
        <v>0.11649282507554948</v>
      </c>
      <c r="CW72" s="48">
        <f t="shared" si="127"/>
        <v>-9.92089569589516E-3</v>
      </c>
      <c r="CX72" s="48">
        <f t="shared" si="127"/>
        <v>-3.2819625740890035E-2</v>
      </c>
      <c r="CY72" s="48">
        <f t="shared" si="127"/>
        <v>1.3330599046809999E-2</v>
      </c>
      <c r="CZ72" s="48">
        <f t="shared" ref="CZ72:EE72" si="128">IF(CZ30="","",IF(ISERROR(CZ30/CY30-1),"",CZ30/CY30-1))</f>
        <v>-1.4853940032594659E-2</v>
      </c>
      <c r="DA72" s="48">
        <f t="shared" si="128"/>
        <v>8.1873025513079511E-4</v>
      </c>
      <c r="DB72" s="48">
        <f t="shared" si="128"/>
        <v>-2.7202850551074631E-2</v>
      </c>
      <c r="DC72" s="48">
        <f t="shared" si="128"/>
        <v>1.3794107736788686E-3</v>
      </c>
      <c r="DD72" s="48">
        <f t="shared" si="128"/>
        <v>-3.4903381863473304E-2</v>
      </c>
      <c r="DE72" s="48">
        <f t="shared" si="128"/>
        <v>-2.9703812423129583E-2</v>
      </c>
      <c r="DF72" s="48">
        <f t="shared" si="128"/>
        <v>3.2953175414227154E-2</v>
      </c>
      <c r="DG72" s="48">
        <f t="shared" si="128"/>
        <v>3.0235910643254815E-3</v>
      </c>
      <c r="DH72" s="48">
        <f t="shared" si="128"/>
        <v>1.0220946589121427E-2</v>
      </c>
      <c r="DI72" s="48">
        <f t="shared" si="128"/>
        <v>8.9882161741332567E-3</v>
      </c>
      <c r="DJ72" s="48">
        <f t="shared" si="128"/>
        <v>6.052973404371409E-2</v>
      </c>
      <c r="DK72" s="48">
        <f t="shared" si="128"/>
        <v>8.7650590185073263E-4</v>
      </c>
      <c r="DL72" s="48">
        <f t="shared" si="128"/>
        <v>-4.0914003616705608E-2</v>
      </c>
      <c r="DM72" s="48">
        <f t="shared" si="128"/>
        <v>6.1678042108004316E-3</v>
      </c>
      <c r="DN72" s="48">
        <f t="shared" si="128"/>
        <v>-2.5773444275149604E-2</v>
      </c>
      <c r="DO72" s="48">
        <f t="shared" si="128"/>
        <v>-7.1428666390140561E-2</v>
      </c>
      <c r="DP72" s="48" t="str">
        <f t="shared" si="128"/>
        <v/>
      </c>
      <c r="DQ72" s="48" t="str">
        <f t="shared" si="128"/>
        <v/>
      </c>
      <c r="DR72" s="48" t="str">
        <f t="shared" si="128"/>
        <v/>
      </c>
      <c r="DS72" s="48" t="str">
        <f t="shared" si="128"/>
        <v/>
      </c>
      <c r="DT72" s="48" t="str">
        <f t="shared" si="128"/>
        <v/>
      </c>
      <c r="DU72" s="48" t="str">
        <f t="shared" si="128"/>
        <v/>
      </c>
      <c r="DV72" s="48" t="str">
        <f t="shared" si="128"/>
        <v/>
      </c>
      <c r="DW72" s="48" t="str">
        <f t="shared" si="128"/>
        <v/>
      </c>
      <c r="DX72" s="48" t="str">
        <f t="shared" si="128"/>
        <v/>
      </c>
      <c r="DY72" s="48" t="str">
        <f t="shared" si="128"/>
        <v/>
      </c>
      <c r="DZ72" s="48" t="str">
        <f t="shared" si="128"/>
        <v/>
      </c>
      <c r="EA72" s="48" t="str">
        <f t="shared" si="128"/>
        <v/>
      </c>
      <c r="EB72" s="48" t="str">
        <f t="shared" si="128"/>
        <v/>
      </c>
      <c r="EC72" s="48" t="str">
        <f t="shared" si="128"/>
        <v/>
      </c>
      <c r="ED72" s="48" t="str">
        <f t="shared" si="128"/>
        <v/>
      </c>
      <c r="EE72" s="48" t="str">
        <f t="shared" si="128"/>
        <v/>
      </c>
      <c r="EF72" s="48" t="str">
        <f t="shared" ref="EF72:EL72" si="129">IF(EF30="","",IF(ISERROR(EF30/EE30-1),"",EF30/EE30-1))</f>
        <v/>
      </c>
      <c r="EG72" s="48" t="str">
        <f t="shared" si="129"/>
        <v/>
      </c>
      <c r="EH72" s="48" t="str">
        <f t="shared" si="129"/>
        <v/>
      </c>
      <c r="EI72" s="48" t="str">
        <f t="shared" si="129"/>
        <v/>
      </c>
      <c r="EJ72" s="48" t="str">
        <f t="shared" si="129"/>
        <v/>
      </c>
      <c r="EK72" s="48" t="str">
        <f t="shared" si="129"/>
        <v/>
      </c>
      <c r="EL72" s="48" t="str">
        <f t="shared" si="129"/>
        <v/>
      </c>
    </row>
    <row r="73" spans="2:142" x14ac:dyDescent="0.25">
      <c r="B73" s="22">
        <f t="shared" si="119"/>
        <v>23</v>
      </c>
      <c r="C73" s="23" t="str">
        <f t="shared" si="119"/>
        <v>ZAPALLO</v>
      </c>
      <c r="D73" s="24">
        <f t="shared" si="119"/>
        <v>9.7869999999999988E-4</v>
      </c>
      <c r="E73" s="24">
        <f t="shared" si="119"/>
        <v>7.9410285120815275E-3</v>
      </c>
      <c r="G73" s="48"/>
      <c r="H73" s="48" t="str">
        <f t="shared" ref="H73:AM73" si="130">IF(H31="","",IF(ISERROR(H31/G31-1),"",H31/G31-1))</f>
        <v/>
      </c>
      <c r="I73" s="48" t="str">
        <f t="shared" si="130"/>
        <v/>
      </c>
      <c r="J73" s="48">
        <f t="shared" si="130"/>
        <v>-5.8649334590429203E-2</v>
      </c>
      <c r="K73" s="48">
        <f t="shared" si="130"/>
        <v>3.1609095238882334E-2</v>
      </c>
      <c r="L73" s="48">
        <f t="shared" si="130"/>
        <v>4.8279349499875668E-3</v>
      </c>
      <c r="M73" s="48">
        <f t="shared" si="130"/>
        <v>-8.8152857775144255E-2</v>
      </c>
      <c r="N73" s="48">
        <f t="shared" si="130"/>
        <v>-8.1701692441249918E-2</v>
      </c>
      <c r="O73" s="48">
        <f t="shared" si="130"/>
        <v>0.47284575286047037</v>
      </c>
      <c r="P73" s="48">
        <f t="shared" si="130"/>
        <v>0.13568852655495811</v>
      </c>
      <c r="Q73" s="48">
        <f t="shared" si="130"/>
        <v>0.15468732551079545</v>
      </c>
      <c r="R73" s="48">
        <f t="shared" si="130"/>
        <v>-8.3397693113342886E-2</v>
      </c>
      <c r="S73" s="48">
        <f t="shared" si="130"/>
        <v>-1.7205008997037363E-2</v>
      </c>
      <c r="T73" s="48">
        <f t="shared" si="130"/>
        <v>3.7447377258980286E-2</v>
      </c>
      <c r="U73" s="48">
        <f t="shared" si="130"/>
        <v>-6.9826059715127897E-3</v>
      </c>
      <c r="V73" s="48">
        <f t="shared" si="130"/>
        <v>-6.4718576011766116E-2</v>
      </c>
      <c r="W73" s="48">
        <f t="shared" si="130"/>
        <v>0.16635328175231745</v>
      </c>
      <c r="X73" s="48">
        <f t="shared" si="130"/>
        <v>0.29762455549712818</v>
      </c>
      <c r="Y73" s="48">
        <f t="shared" si="130"/>
        <v>0.22790611878378741</v>
      </c>
      <c r="Z73" s="48">
        <f t="shared" si="130"/>
        <v>0.13524706193401914</v>
      </c>
      <c r="AA73" s="48">
        <f t="shared" si="130"/>
        <v>0.10104261150905058</v>
      </c>
      <c r="AB73" s="48">
        <f t="shared" si="130"/>
        <v>9.7808465243285792E-2</v>
      </c>
      <c r="AC73" s="48">
        <f t="shared" si="130"/>
        <v>0.10738136445742685</v>
      </c>
      <c r="AD73" s="48">
        <f t="shared" si="130"/>
        <v>-0.4026431183294874</v>
      </c>
      <c r="AE73" s="48">
        <f t="shared" si="130"/>
        <v>-0.2516392591536325</v>
      </c>
      <c r="AF73" s="48">
        <f t="shared" si="130"/>
        <v>-0.23377103337278282</v>
      </c>
      <c r="AG73" s="48">
        <f t="shared" si="130"/>
        <v>-7.9639895109738901E-2</v>
      </c>
      <c r="AH73" s="48">
        <f t="shared" si="130"/>
        <v>-2.2480478287018602E-2</v>
      </c>
      <c r="AI73" s="48">
        <f t="shared" si="130"/>
        <v>-8.3698740672616401E-3</v>
      </c>
      <c r="AJ73" s="48">
        <f t="shared" si="130"/>
        <v>-5.3683465725381518E-3</v>
      </c>
      <c r="AK73" s="48">
        <f t="shared" si="130"/>
        <v>-1.8226822136104048E-2</v>
      </c>
      <c r="AL73" s="48">
        <f t="shared" si="130"/>
        <v>0.10241672986683725</v>
      </c>
      <c r="AM73" s="48">
        <f t="shared" si="130"/>
        <v>2.9668075328957766E-2</v>
      </c>
      <c r="AN73" s="48">
        <f t="shared" ref="AN73:BS73" si="131">IF(AN31="","",IF(ISERROR(AN31/AM31-1),"",AN31/AM31-1))</f>
        <v>0.6525757678356181</v>
      </c>
      <c r="AO73" s="48">
        <f t="shared" si="131"/>
        <v>9.894967267940058E-2</v>
      </c>
      <c r="AP73" s="48">
        <f t="shared" si="131"/>
        <v>-0.16842000137296897</v>
      </c>
      <c r="AQ73" s="48">
        <f t="shared" si="131"/>
        <v>-0.14873945489625839</v>
      </c>
      <c r="AR73" s="48">
        <f t="shared" si="131"/>
        <v>-0.10923474507772479</v>
      </c>
      <c r="AS73" s="48">
        <f t="shared" si="131"/>
        <v>-6.3374022249726436E-2</v>
      </c>
      <c r="AT73" s="48">
        <f t="shared" si="131"/>
        <v>-0.13646566738297217</v>
      </c>
      <c r="AU73" s="48">
        <f t="shared" si="131"/>
        <v>-9.1412401274159838E-2</v>
      </c>
      <c r="AV73" s="48">
        <f t="shared" si="131"/>
        <v>3.3019456530242186E-2</v>
      </c>
      <c r="AW73" s="48">
        <f t="shared" si="131"/>
        <v>3.7158103355558136E-2</v>
      </c>
      <c r="AX73" s="48">
        <f t="shared" si="131"/>
        <v>-0.17282016009334711</v>
      </c>
      <c r="AY73" s="48">
        <f t="shared" si="131"/>
        <v>8.2236751259433971E-2</v>
      </c>
      <c r="AZ73" s="48">
        <f t="shared" si="131"/>
        <v>0.46784124390729809</v>
      </c>
      <c r="BA73" s="48">
        <f t="shared" si="131"/>
        <v>0.2017151846828531</v>
      </c>
      <c r="BB73" s="48">
        <f t="shared" si="131"/>
        <v>1.2737343992332839E-3</v>
      </c>
      <c r="BC73" s="48">
        <f t="shared" si="131"/>
        <v>-6.2150185718264694E-2</v>
      </c>
      <c r="BD73" s="48">
        <f t="shared" si="131"/>
        <v>-6.1616020352231682E-2</v>
      </c>
      <c r="BE73" s="48">
        <f t="shared" si="131"/>
        <v>-5.3817885926403464E-2</v>
      </c>
      <c r="BF73" s="48">
        <f t="shared" si="131"/>
        <v>4.5852684161632462E-2</v>
      </c>
      <c r="BG73" s="48">
        <f t="shared" si="131"/>
        <v>1.1365552441729321E-2</v>
      </c>
      <c r="BH73" s="48">
        <f t="shared" si="131"/>
        <v>-4.8623393448905206E-2</v>
      </c>
      <c r="BI73" s="48">
        <f t="shared" si="131"/>
        <v>-3.9037526220673135E-2</v>
      </c>
      <c r="BJ73" s="48">
        <f t="shared" si="131"/>
        <v>0.24676930815998621</v>
      </c>
      <c r="BK73" s="48">
        <f t="shared" si="131"/>
        <v>0.28004101976988327</v>
      </c>
      <c r="BL73" s="48">
        <f t="shared" si="131"/>
        <v>0.33230690350659109</v>
      </c>
      <c r="BM73" s="48">
        <f t="shared" si="131"/>
        <v>4.0293023206769751E-2</v>
      </c>
      <c r="BN73" s="48">
        <f t="shared" si="131"/>
        <v>-9.2343771805826869E-2</v>
      </c>
      <c r="BO73" s="48">
        <f t="shared" si="131"/>
        <v>-0.123745371386067</v>
      </c>
      <c r="BP73" s="48">
        <f t="shared" si="131"/>
        <v>-0.19949318626973067</v>
      </c>
      <c r="BQ73" s="48">
        <f t="shared" si="131"/>
        <v>-5.547184117682602E-2</v>
      </c>
      <c r="BR73" s="48">
        <f t="shared" si="131"/>
        <v>-0.11597425053077859</v>
      </c>
      <c r="BS73" s="48">
        <f t="shared" si="131"/>
        <v>-8.4215517925788519E-2</v>
      </c>
      <c r="BT73" s="48">
        <f t="shared" ref="BT73:CY73" si="132">IF(BT31="","",IF(ISERROR(BT31/BS31-1),"",BT31/BS31-1))</f>
        <v>-2.1247109217727322E-2</v>
      </c>
      <c r="BU73" s="48">
        <f t="shared" si="132"/>
        <v>-2.9250501301715026E-2</v>
      </c>
      <c r="BV73" s="48">
        <f t="shared" si="132"/>
        <v>4.009765346621319E-2</v>
      </c>
      <c r="BW73" s="48">
        <f t="shared" si="132"/>
        <v>7.1851647440283939E-2</v>
      </c>
      <c r="BX73" s="48">
        <f t="shared" si="132"/>
        <v>0.43699665863491788</v>
      </c>
      <c r="BY73" s="48">
        <f t="shared" si="132"/>
        <v>0.32217658818812511</v>
      </c>
      <c r="BZ73" s="48">
        <f t="shared" si="132"/>
        <v>-1.8113883809604103E-2</v>
      </c>
      <c r="CA73" s="48">
        <f t="shared" si="132"/>
        <v>-0.34733838178103804</v>
      </c>
      <c r="CB73" s="48">
        <f t="shared" si="132"/>
        <v>-2.2847374097724416E-2</v>
      </c>
      <c r="CC73" s="48">
        <f t="shared" si="132"/>
        <v>-0.12462240206176267</v>
      </c>
      <c r="CD73" s="48">
        <f t="shared" si="132"/>
        <v>1.745868568726161E-3</v>
      </c>
      <c r="CE73" s="48">
        <f t="shared" si="132"/>
        <v>-4.9492250321738096E-2</v>
      </c>
      <c r="CF73" s="48">
        <f t="shared" si="132"/>
        <v>2.9395105789518539E-2</v>
      </c>
      <c r="CG73" s="48">
        <f t="shared" si="132"/>
        <v>-3.3650308568055287E-2</v>
      </c>
      <c r="CH73" s="48">
        <f t="shared" si="132"/>
        <v>-6.5640182563564409E-3</v>
      </c>
      <c r="CI73" s="48">
        <f t="shared" si="132"/>
        <v>0.20600954887177636</v>
      </c>
      <c r="CJ73" s="48">
        <f t="shared" si="132"/>
        <v>0.12876692578440219</v>
      </c>
      <c r="CK73" s="48">
        <f t="shared" si="132"/>
        <v>5.58700844985065E-2</v>
      </c>
      <c r="CL73" s="48">
        <f t="shared" si="132"/>
        <v>-5.8734427828390778E-2</v>
      </c>
      <c r="CM73" s="48">
        <f t="shared" si="132"/>
        <v>-0.18050563513792439</v>
      </c>
      <c r="CN73" s="48">
        <f t="shared" si="132"/>
        <v>-5.141209225488963E-2</v>
      </c>
      <c r="CO73" s="48">
        <f t="shared" si="132"/>
        <v>2.9397125908192656E-4</v>
      </c>
      <c r="CP73" s="48">
        <f t="shared" si="132"/>
        <v>1.2023885562155723E-2</v>
      </c>
      <c r="CQ73" s="48">
        <f t="shared" si="132"/>
        <v>-3.0346587641165157E-2</v>
      </c>
      <c r="CR73" s="48">
        <f t="shared" si="132"/>
        <v>4.5170705604368866E-2</v>
      </c>
      <c r="CS73" s="48">
        <f t="shared" si="132"/>
        <v>0.2052280914926945</v>
      </c>
      <c r="CT73" s="48">
        <f t="shared" si="132"/>
        <v>9.4178845595276561E-2</v>
      </c>
      <c r="CU73" s="48">
        <f t="shared" si="132"/>
        <v>4.7407525106745174E-2</v>
      </c>
      <c r="CV73" s="48">
        <f t="shared" si="132"/>
        <v>9.2243116529434843E-2</v>
      </c>
      <c r="CW73" s="48">
        <f t="shared" si="132"/>
        <v>0.31157099742222671</v>
      </c>
      <c r="CX73" s="48">
        <f t="shared" si="132"/>
        <v>8.8720672578556314E-2</v>
      </c>
      <c r="CY73" s="48">
        <f t="shared" si="132"/>
        <v>-0.28616293323807918</v>
      </c>
      <c r="CZ73" s="48">
        <f t="shared" ref="CZ73:EE73" si="133">IF(CZ31="","",IF(ISERROR(CZ31/CY31-1),"",CZ31/CY31-1))</f>
        <v>-0.12148959384487912</v>
      </c>
      <c r="DA73" s="48">
        <f t="shared" si="133"/>
        <v>-0.11777261700332042</v>
      </c>
      <c r="DB73" s="48">
        <f t="shared" si="133"/>
        <v>3.3817971912501577E-2</v>
      </c>
      <c r="DC73" s="48">
        <f t="shared" si="133"/>
        <v>-5.6160469951782588E-4</v>
      </c>
      <c r="DD73" s="48">
        <f t="shared" si="133"/>
        <v>1.366896502599757E-2</v>
      </c>
      <c r="DE73" s="48">
        <f t="shared" si="133"/>
        <v>0.2694924562876988</v>
      </c>
      <c r="DF73" s="48">
        <f t="shared" si="133"/>
        <v>1.5390936052620985E-2</v>
      </c>
      <c r="DG73" s="48">
        <f t="shared" si="133"/>
        <v>0.12169892366213286</v>
      </c>
      <c r="DH73" s="48">
        <f t="shared" si="133"/>
        <v>0.10077002721657946</v>
      </c>
      <c r="DI73" s="48">
        <f t="shared" si="133"/>
        <v>-2.8663109064100412E-2</v>
      </c>
      <c r="DJ73" s="48">
        <f t="shared" si="133"/>
        <v>-0.24507512677884569</v>
      </c>
      <c r="DK73" s="48">
        <f t="shared" si="133"/>
        <v>-7.3042916888618747E-2</v>
      </c>
      <c r="DL73" s="48">
        <f t="shared" si="133"/>
        <v>-0.1020412266830526</v>
      </c>
      <c r="DM73" s="48">
        <f t="shared" si="133"/>
        <v>-2.0822719555282587E-2</v>
      </c>
      <c r="DN73" s="48">
        <f t="shared" si="133"/>
        <v>2.552323746395091E-2</v>
      </c>
      <c r="DO73" s="48">
        <f t="shared" si="133"/>
        <v>-7.5966982880312228E-3</v>
      </c>
      <c r="DP73" s="48" t="str">
        <f t="shared" si="133"/>
        <v/>
      </c>
      <c r="DQ73" s="48" t="str">
        <f t="shared" si="133"/>
        <v/>
      </c>
      <c r="DR73" s="48" t="str">
        <f t="shared" si="133"/>
        <v/>
      </c>
      <c r="DS73" s="48" t="str">
        <f t="shared" si="133"/>
        <v/>
      </c>
      <c r="DT73" s="48" t="str">
        <f t="shared" si="133"/>
        <v/>
      </c>
      <c r="DU73" s="48" t="str">
        <f t="shared" si="133"/>
        <v/>
      </c>
      <c r="DV73" s="48" t="str">
        <f t="shared" si="133"/>
        <v/>
      </c>
      <c r="DW73" s="48" t="str">
        <f t="shared" si="133"/>
        <v/>
      </c>
      <c r="DX73" s="48" t="str">
        <f t="shared" si="133"/>
        <v/>
      </c>
      <c r="DY73" s="48" t="str">
        <f t="shared" si="133"/>
        <v/>
      </c>
      <c r="DZ73" s="48" t="str">
        <f t="shared" si="133"/>
        <v/>
      </c>
      <c r="EA73" s="48" t="str">
        <f t="shared" si="133"/>
        <v/>
      </c>
      <c r="EB73" s="48" t="str">
        <f t="shared" si="133"/>
        <v/>
      </c>
      <c r="EC73" s="48" t="str">
        <f t="shared" si="133"/>
        <v/>
      </c>
      <c r="ED73" s="48" t="str">
        <f t="shared" si="133"/>
        <v/>
      </c>
      <c r="EE73" s="48" t="str">
        <f t="shared" si="133"/>
        <v/>
      </c>
      <c r="EF73" s="48" t="str">
        <f t="shared" ref="EF73:EL73" si="134">IF(EF31="","",IF(ISERROR(EF31/EE31-1),"",EF31/EE31-1))</f>
        <v/>
      </c>
      <c r="EG73" s="48" t="str">
        <f t="shared" si="134"/>
        <v/>
      </c>
      <c r="EH73" s="48" t="str">
        <f t="shared" si="134"/>
        <v/>
      </c>
      <c r="EI73" s="48" t="str">
        <f t="shared" si="134"/>
        <v/>
      </c>
      <c r="EJ73" s="48" t="str">
        <f t="shared" si="134"/>
        <v/>
      </c>
      <c r="EK73" s="48" t="str">
        <f t="shared" si="134"/>
        <v/>
      </c>
      <c r="EL73" s="48" t="str">
        <f t="shared" si="134"/>
        <v/>
      </c>
    </row>
    <row r="74" spans="2:142" x14ac:dyDescent="0.25">
      <c r="B74" s="22">
        <f t="shared" si="119"/>
        <v>24</v>
      </c>
      <c r="C74" s="23" t="str">
        <f t="shared" si="119"/>
        <v>ZAPALLO ITALIANO</v>
      </c>
      <c r="D74" s="24">
        <f t="shared" si="119"/>
        <v>3.8430000000000002E-4</v>
      </c>
      <c r="E74" s="24">
        <f t="shared" si="119"/>
        <v>3.1181539360303789E-3</v>
      </c>
      <c r="G74" s="48"/>
      <c r="H74" s="48" t="str">
        <f t="shared" ref="H74:AM74" si="135">IF(H32="","",IF(ISERROR(H32/G32-1),"",H32/G32-1))</f>
        <v/>
      </c>
      <c r="I74" s="48" t="str">
        <f t="shared" si="135"/>
        <v/>
      </c>
      <c r="J74" s="48" t="str">
        <f t="shared" si="135"/>
        <v/>
      </c>
      <c r="K74" s="48" t="str">
        <f t="shared" si="135"/>
        <v/>
      </c>
      <c r="L74" s="48">
        <f t="shared" si="135"/>
        <v>0.22097595004977388</v>
      </c>
      <c r="M74" s="48">
        <f t="shared" si="135"/>
        <v>0.20546545359641177</v>
      </c>
      <c r="N74" s="48">
        <f t="shared" si="135"/>
        <v>0.16656190352097044</v>
      </c>
      <c r="O74" s="48">
        <f t="shared" si="135"/>
        <v>5.3501379017236728E-2</v>
      </c>
      <c r="P74" s="48">
        <f t="shared" si="135"/>
        <v>-7.046450218991529E-2</v>
      </c>
      <c r="Q74" s="48">
        <f t="shared" si="135"/>
        <v>-0.14809157280865271</v>
      </c>
      <c r="R74" s="48">
        <f t="shared" si="135"/>
        <v>-0.32359918605936111</v>
      </c>
      <c r="S74" s="48">
        <f t="shared" si="135"/>
        <v>-0.14510288078531364</v>
      </c>
      <c r="T74" s="48">
        <f t="shared" si="135"/>
        <v>0.18290812831639069</v>
      </c>
      <c r="U74" s="48">
        <f t="shared" si="135"/>
        <v>4.0835537336368022E-2</v>
      </c>
      <c r="V74" s="48">
        <f t="shared" si="135"/>
        <v>-8.1752959890182719E-2</v>
      </c>
      <c r="W74" s="48">
        <f t="shared" si="135"/>
        <v>0.16255538960825588</v>
      </c>
      <c r="X74" s="48">
        <f t="shared" si="135"/>
        <v>0.39129801869532832</v>
      </c>
      <c r="Y74" s="48">
        <f t="shared" si="135"/>
        <v>0.28980079244770041</v>
      </c>
      <c r="Z74" s="48">
        <f t="shared" si="135"/>
        <v>-5.1174117080558301E-2</v>
      </c>
      <c r="AA74" s="48">
        <f t="shared" si="135"/>
        <v>9.252532912433975E-2</v>
      </c>
      <c r="AB74" s="48">
        <f t="shared" si="135"/>
        <v>-5.1067335834642402E-2</v>
      </c>
      <c r="AC74" s="48">
        <f t="shared" si="135"/>
        <v>-0.32887469010904757</v>
      </c>
      <c r="AD74" s="48">
        <f t="shared" si="135"/>
        <v>-0.25585712454279963</v>
      </c>
      <c r="AE74" s="48">
        <f t="shared" si="135"/>
        <v>3.7498450436705744E-2</v>
      </c>
      <c r="AF74" s="48">
        <f t="shared" si="135"/>
        <v>3.3088469155924338E-2</v>
      </c>
      <c r="AG74" s="48">
        <f t="shared" si="135"/>
        <v>5.5780076618852537E-2</v>
      </c>
      <c r="AH74" s="48">
        <f t="shared" si="135"/>
        <v>5.4737630431277218E-2</v>
      </c>
      <c r="AI74" s="48">
        <f t="shared" si="135"/>
        <v>0.62308924666730281</v>
      </c>
      <c r="AJ74" s="48">
        <f t="shared" si="135"/>
        <v>0.15341908607399923</v>
      </c>
      <c r="AK74" s="48">
        <f t="shared" si="135"/>
        <v>-4.6766142595339733E-2</v>
      </c>
      <c r="AL74" s="48">
        <f t="shared" si="135"/>
        <v>0.18695072859364736</v>
      </c>
      <c r="AM74" s="48">
        <f t="shared" si="135"/>
        <v>1.535399025614681E-2</v>
      </c>
      <c r="AN74" s="48">
        <f t="shared" ref="AN74:BS74" si="136">IF(AN32="","",IF(ISERROR(AN32/AM32-1),"",AN32/AM32-1))</f>
        <v>-2.0745249786579101E-2</v>
      </c>
      <c r="AO74" s="48">
        <f t="shared" si="136"/>
        <v>-0.44809792401949844</v>
      </c>
      <c r="AP74" s="48">
        <f t="shared" si="136"/>
        <v>-0.30635938673408714</v>
      </c>
      <c r="AQ74" s="48">
        <f t="shared" si="136"/>
        <v>-5.197667828920427E-2</v>
      </c>
      <c r="AR74" s="48">
        <f t="shared" si="136"/>
        <v>6.5174019466920363E-2</v>
      </c>
      <c r="AS74" s="48">
        <f t="shared" si="136"/>
        <v>0.3172510766983021</v>
      </c>
      <c r="AT74" s="48">
        <f t="shared" si="136"/>
        <v>-8.300906252148732E-2</v>
      </c>
      <c r="AU74" s="48">
        <f t="shared" si="136"/>
        <v>0.20395904143521393</v>
      </c>
      <c r="AV74" s="48">
        <f t="shared" si="136"/>
        <v>0.14907083344590277</v>
      </c>
      <c r="AW74" s="48">
        <f t="shared" si="136"/>
        <v>0.17483734160746134</v>
      </c>
      <c r="AX74" s="48">
        <f t="shared" si="136"/>
        <v>0.22127461746169508</v>
      </c>
      <c r="AY74" s="48">
        <f t="shared" si="136"/>
        <v>6.6382274502403638E-2</v>
      </c>
      <c r="AZ74" s="48">
        <f t="shared" si="136"/>
        <v>-0.11547136540429459</v>
      </c>
      <c r="BA74" s="48">
        <f t="shared" si="136"/>
        <v>-0.33297532297253352</v>
      </c>
      <c r="BB74" s="48">
        <f t="shared" si="136"/>
        <v>-0.23734078226833011</v>
      </c>
      <c r="BC74" s="48">
        <f t="shared" si="136"/>
        <v>-1.5190051858407494E-2</v>
      </c>
      <c r="BD74" s="48">
        <f t="shared" si="136"/>
        <v>6.408866938131963E-2</v>
      </c>
      <c r="BE74" s="48">
        <f t="shared" si="136"/>
        <v>4.6079516061427794E-2</v>
      </c>
      <c r="BF74" s="48">
        <f t="shared" si="136"/>
        <v>-0.10497318750913975</v>
      </c>
      <c r="BG74" s="48">
        <f t="shared" si="136"/>
        <v>0.19377523911388939</v>
      </c>
      <c r="BH74" s="48">
        <f t="shared" si="136"/>
        <v>0.24829989905023564</v>
      </c>
      <c r="BI74" s="48">
        <f t="shared" si="136"/>
        <v>0.11897911096793035</v>
      </c>
      <c r="BJ74" s="48">
        <f t="shared" si="136"/>
        <v>-2.8030680881641401E-2</v>
      </c>
      <c r="BK74" s="48">
        <f t="shared" si="136"/>
        <v>0.18963596166882413</v>
      </c>
      <c r="BL74" s="48">
        <f t="shared" si="136"/>
        <v>3.2588923146594784E-2</v>
      </c>
      <c r="BM74" s="48">
        <f t="shared" si="136"/>
        <v>-0.31948173249926404</v>
      </c>
      <c r="BN74" s="48">
        <f t="shared" si="136"/>
        <v>-0.13145530301582098</v>
      </c>
      <c r="BO74" s="48">
        <f t="shared" si="136"/>
        <v>0.15538295930641999</v>
      </c>
      <c r="BP74" s="48">
        <f t="shared" si="136"/>
        <v>0.10407384176856072</v>
      </c>
      <c r="BQ74" s="48">
        <f t="shared" si="136"/>
        <v>0.16869981937479039</v>
      </c>
      <c r="BR74" s="48">
        <f t="shared" si="136"/>
        <v>-0.13194331164588868</v>
      </c>
      <c r="BS74" s="48">
        <f t="shared" si="136"/>
        <v>0.15138118957170388</v>
      </c>
      <c r="BT74" s="48">
        <f t="shared" ref="BT74:CY74" si="137">IF(BT32="","",IF(ISERROR(BT32/BS32-1),"",BT32/BS32-1))</f>
        <v>0.45024641057473325</v>
      </c>
      <c r="BU74" s="48">
        <f t="shared" si="137"/>
        <v>-5.3255474431022076E-2</v>
      </c>
      <c r="BV74" s="48">
        <f t="shared" si="137"/>
        <v>-1.2707944952005001E-2</v>
      </c>
      <c r="BW74" s="48">
        <f t="shared" si="137"/>
        <v>3.5215950635913762E-2</v>
      </c>
      <c r="BX74" s="48">
        <f t="shared" si="137"/>
        <v>0.21308286433679147</v>
      </c>
      <c r="BY74" s="48">
        <f t="shared" si="137"/>
        <v>-0.28369887721095821</v>
      </c>
      <c r="BZ74" s="48">
        <f t="shared" si="137"/>
        <v>-0.29652881811863396</v>
      </c>
      <c r="CA74" s="48">
        <f t="shared" si="137"/>
        <v>8.7289305140163531E-3</v>
      </c>
      <c r="CB74" s="48">
        <f t="shared" si="137"/>
        <v>-9.7915247855315135E-2</v>
      </c>
      <c r="CC74" s="48">
        <f t="shared" si="137"/>
        <v>0.12404314415155437</v>
      </c>
      <c r="CD74" s="48">
        <f t="shared" si="137"/>
        <v>-3.0634008161603887E-2</v>
      </c>
      <c r="CE74" s="48">
        <f t="shared" si="137"/>
        <v>0.19462433979058735</v>
      </c>
      <c r="CF74" s="48">
        <f t="shared" si="137"/>
        <v>7.080691713170939E-3</v>
      </c>
      <c r="CG74" s="48">
        <f t="shared" si="137"/>
        <v>0.10668134498774595</v>
      </c>
      <c r="CH74" s="48">
        <f t="shared" si="137"/>
        <v>0.11079131487912131</v>
      </c>
      <c r="CI74" s="48">
        <f t="shared" si="137"/>
        <v>0.10596469126387698</v>
      </c>
      <c r="CJ74" s="48">
        <f t="shared" si="137"/>
        <v>-6.0154880889013329E-2</v>
      </c>
      <c r="CK74" s="48">
        <f t="shared" si="137"/>
        <v>-0.1612740583072042</v>
      </c>
      <c r="CL74" s="48">
        <f t="shared" si="137"/>
        <v>-0.10146921998150282</v>
      </c>
      <c r="CM74" s="48">
        <f t="shared" si="137"/>
        <v>1.2105176749285906E-2</v>
      </c>
      <c r="CN74" s="48">
        <f t="shared" si="137"/>
        <v>-1.4576542814703775E-3</v>
      </c>
      <c r="CO74" s="48">
        <f t="shared" si="137"/>
        <v>1.9594845088254154E-2</v>
      </c>
      <c r="CP74" s="48">
        <f t="shared" si="137"/>
        <v>-8.4757415824456506E-2</v>
      </c>
      <c r="CQ74" s="48">
        <f t="shared" si="137"/>
        <v>5.2754182895013768E-2</v>
      </c>
      <c r="CR74" s="48">
        <f t="shared" si="137"/>
        <v>0.16398871185241326</v>
      </c>
      <c r="CS74" s="48">
        <f t="shared" si="137"/>
        <v>7.2592461102510164E-2</v>
      </c>
      <c r="CT74" s="48">
        <f t="shared" si="137"/>
        <v>0.14901320617402347</v>
      </c>
      <c r="CU74" s="48">
        <f t="shared" si="137"/>
        <v>0.1312594558552882</v>
      </c>
      <c r="CV74" s="48">
        <f t="shared" si="137"/>
        <v>-1.2669060645170815E-2</v>
      </c>
      <c r="CW74" s="48">
        <f t="shared" si="137"/>
        <v>-0.22378511487891606</v>
      </c>
      <c r="CX74" s="48">
        <f t="shared" si="137"/>
        <v>-0.10706571013407729</v>
      </c>
      <c r="CY74" s="48">
        <f t="shared" si="137"/>
        <v>7.6788876818103313E-2</v>
      </c>
      <c r="CZ74" s="48">
        <f t="shared" ref="CZ74:EE74" si="138">IF(CZ32="","",IF(ISERROR(CZ32/CY32-1),"",CZ32/CY32-1))</f>
        <v>-9.0171714142363024E-2</v>
      </c>
      <c r="DA74" s="48">
        <f t="shared" si="138"/>
        <v>6.2613613879009433E-2</v>
      </c>
      <c r="DB74" s="48">
        <f t="shared" si="138"/>
        <v>9.7198965752609556E-3</v>
      </c>
      <c r="DC74" s="48">
        <f t="shared" si="138"/>
        <v>0.16394744521331783</v>
      </c>
      <c r="DD74" s="48">
        <f t="shared" si="138"/>
        <v>0.12209389220172495</v>
      </c>
      <c r="DE74" s="48">
        <f t="shared" si="138"/>
        <v>-3.9237028490440529E-2</v>
      </c>
      <c r="DF74" s="48">
        <f t="shared" si="138"/>
        <v>5.5863835022348374E-2</v>
      </c>
      <c r="DG74" s="48">
        <f t="shared" si="138"/>
        <v>2.4109637420429486E-2</v>
      </c>
      <c r="DH74" s="48">
        <f t="shared" si="138"/>
        <v>-0.14064040492693808</v>
      </c>
      <c r="DI74" s="48">
        <f t="shared" si="138"/>
        <v>-0.19140907299533083</v>
      </c>
      <c r="DJ74" s="48">
        <f t="shared" si="138"/>
        <v>1.7480140128731447E-2</v>
      </c>
      <c r="DK74" s="48">
        <f t="shared" si="138"/>
        <v>-1.8173842424722864E-2</v>
      </c>
      <c r="DL74" s="48">
        <f t="shared" si="138"/>
        <v>2.5954094532022465E-2</v>
      </c>
      <c r="DM74" s="48">
        <f t="shared" si="138"/>
        <v>6.7132519126043677E-2</v>
      </c>
      <c r="DN74" s="48">
        <f t="shared" si="138"/>
        <v>-2.5521793516477431E-2</v>
      </c>
      <c r="DO74" s="48">
        <f t="shared" si="138"/>
        <v>-4.7755112345508333E-2</v>
      </c>
      <c r="DP74" s="48" t="str">
        <f t="shared" si="138"/>
        <v/>
      </c>
      <c r="DQ74" s="48" t="str">
        <f t="shared" si="138"/>
        <v/>
      </c>
      <c r="DR74" s="48" t="str">
        <f t="shared" si="138"/>
        <v/>
      </c>
      <c r="DS74" s="48" t="str">
        <f t="shared" si="138"/>
        <v/>
      </c>
      <c r="DT74" s="48" t="str">
        <f t="shared" si="138"/>
        <v/>
      </c>
      <c r="DU74" s="48" t="str">
        <f t="shared" si="138"/>
        <v/>
      </c>
      <c r="DV74" s="48" t="str">
        <f t="shared" si="138"/>
        <v/>
      </c>
      <c r="DW74" s="48" t="str">
        <f t="shared" si="138"/>
        <v/>
      </c>
      <c r="DX74" s="48" t="str">
        <f t="shared" si="138"/>
        <v/>
      </c>
      <c r="DY74" s="48" t="str">
        <f t="shared" si="138"/>
        <v/>
      </c>
      <c r="DZ74" s="48" t="str">
        <f t="shared" si="138"/>
        <v/>
      </c>
      <c r="EA74" s="48" t="str">
        <f t="shared" si="138"/>
        <v/>
      </c>
      <c r="EB74" s="48" t="str">
        <f t="shared" si="138"/>
        <v/>
      </c>
      <c r="EC74" s="48" t="str">
        <f t="shared" si="138"/>
        <v/>
      </c>
      <c r="ED74" s="48" t="str">
        <f t="shared" si="138"/>
        <v/>
      </c>
      <c r="EE74" s="48" t="str">
        <f t="shared" si="138"/>
        <v/>
      </c>
      <c r="EF74" s="48" t="str">
        <f t="shared" ref="EF74:EL74" si="139">IF(EF32="","",IF(ISERROR(EF32/EE32-1),"",EF32/EE32-1))</f>
        <v/>
      </c>
      <c r="EG74" s="48" t="str">
        <f t="shared" si="139"/>
        <v/>
      </c>
      <c r="EH74" s="48" t="str">
        <f t="shared" si="139"/>
        <v/>
      </c>
      <c r="EI74" s="48" t="str">
        <f t="shared" si="139"/>
        <v/>
      </c>
      <c r="EJ74" s="48" t="str">
        <f t="shared" si="139"/>
        <v/>
      </c>
      <c r="EK74" s="48" t="str">
        <f t="shared" si="139"/>
        <v/>
      </c>
      <c r="EL74" s="48" t="str">
        <f t="shared" si="139"/>
        <v/>
      </c>
    </row>
    <row r="75" spans="2:142" x14ac:dyDescent="0.25">
      <c r="B75" s="26">
        <f t="shared" si="119"/>
        <v>25</v>
      </c>
      <c r="C75" s="27" t="str">
        <f t="shared" si="119"/>
        <v>HUEVOS</v>
      </c>
      <c r="D75" s="28">
        <f t="shared" si="119"/>
        <v>3.3390999999999998E-3</v>
      </c>
      <c r="E75" s="28">
        <f t="shared" si="119"/>
        <v>2.7092968534475768E-2</v>
      </c>
      <c r="G75" s="49"/>
      <c r="H75" s="49" t="str">
        <f t="shared" ref="H75:AM75" si="140">IF(H33="","",IF(ISERROR(H33/G33-1),"",H33/G33-1))</f>
        <v/>
      </c>
      <c r="I75" s="49" t="str">
        <f t="shared" si="140"/>
        <v/>
      </c>
      <c r="J75" s="49" t="str">
        <f t="shared" si="140"/>
        <v/>
      </c>
      <c r="K75" s="49" t="str">
        <f t="shared" si="140"/>
        <v/>
      </c>
      <c r="L75" s="49" t="str">
        <f t="shared" si="140"/>
        <v/>
      </c>
      <c r="M75" s="49" t="str">
        <f t="shared" si="140"/>
        <v/>
      </c>
      <c r="N75" s="49" t="str">
        <f t="shared" si="140"/>
        <v/>
      </c>
      <c r="O75" s="49" t="str">
        <f t="shared" si="140"/>
        <v/>
      </c>
      <c r="P75" s="49" t="str">
        <f t="shared" si="140"/>
        <v/>
      </c>
      <c r="Q75" s="49" t="str">
        <f t="shared" si="140"/>
        <v/>
      </c>
      <c r="R75" s="49" t="str">
        <f t="shared" si="140"/>
        <v/>
      </c>
      <c r="S75" s="49" t="str">
        <f t="shared" si="140"/>
        <v/>
      </c>
      <c r="T75" s="49" t="str">
        <f t="shared" si="140"/>
        <v/>
      </c>
      <c r="U75" s="49" t="str">
        <f t="shared" si="140"/>
        <v/>
      </c>
      <c r="V75" s="49" t="str">
        <f t="shared" si="140"/>
        <v/>
      </c>
      <c r="W75" s="49" t="str">
        <f t="shared" si="140"/>
        <v/>
      </c>
      <c r="X75" s="49" t="str">
        <f t="shared" si="140"/>
        <v/>
      </c>
      <c r="Y75" s="49" t="str">
        <f t="shared" si="140"/>
        <v/>
      </c>
      <c r="Z75" s="49" t="str">
        <f t="shared" si="140"/>
        <v/>
      </c>
      <c r="AA75" s="49" t="str">
        <f t="shared" si="140"/>
        <v/>
      </c>
      <c r="AB75" s="49" t="str">
        <f t="shared" si="140"/>
        <v/>
      </c>
      <c r="AC75" s="49" t="str">
        <f t="shared" si="140"/>
        <v/>
      </c>
      <c r="AD75" s="49" t="str">
        <f t="shared" si="140"/>
        <v/>
      </c>
      <c r="AE75" s="49" t="str">
        <f t="shared" si="140"/>
        <v/>
      </c>
      <c r="AF75" s="49" t="str">
        <f t="shared" si="140"/>
        <v/>
      </c>
      <c r="AG75" s="49" t="str">
        <f t="shared" si="140"/>
        <v/>
      </c>
      <c r="AH75" s="49" t="str">
        <f t="shared" si="140"/>
        <v/>
      </c>
      <c r="AI75" s="49" t="str">
        <f t="shared" si="140"/>
        <v/>
      </c>
      <c r="AJ75" s="49" t="str">
        <f t="shared" si="140"/>
        <v/>
      </c>
      <c r="AK75" s="49" t="str">
        <f t="shared" si="140"/>
        <v/>
      </c>
      <c r="AL75" s="49" t="str">
        <f t="shared" si="140"/>
        <v/>
      </c>
      <c r="AM75" s="49" t="str">
        <f t="shared" si="140"/>
        <v/>
      </c>
      <c r="AN75" s="49" t="str">
        <f t="shared" ref="AN75:BS75" si="141">IF(AN33="","",IF(ISERROR(AN33/AM33-1),"",AN33/AM33-1))</f>
        <v/>
      </c>
      <c r="AO75" s="49" t="str">
        <f t="shared" si="141"/>
        <v/>
      </c>
      <c r="AP75" s="49" t="str">
        <f t="shared" si="141"/>
        <v/>
      </c>
      <c r="AQ75" s="49" t="str">
        <f t="shared" si="141"/>
        <v/>
      </c>
      <c r="AR75" s="49" t="str">
        <f t="shared" si="141"/>
        <v/>
      </c>
      <c r="AS75" s="49" t="str">
        <f t="shared" si="141"/>
        <v/>
      </c>
      <c r="AT75" s="49" t="str">
        <f t="shared" si="141"/>
        <v/>
      </c>
      <c r="AU75" s="49" t="str">
        <f t="shared" si="141"/>
        <v/>
      </c>
      <c r="AV75" s="49" t="str">
        <f t="shared" si="141"/>
        <v/>
      </c>
      <c r="AW75" s="49" t="str">
        <f t="shared" si="141"/>
        <v/>
      </c>
      <c r="AX75" s="49" t="str">
        <f t="shared" si="141"/>
        <v/>
      </c>
      <c r="AY75" s="49" t="str">
        <f t="shared" si="141"/>
        <v/>
      </c>
      <c r="AZ75" s="49" t="str">
        <f t="shared" si="141"/>
        <v/>
      </c>
      <c r="BA75" s="49" t="str">
        <f t="shared" si="141"/>
        <v/>
      </c>
      <c r="BB75" s="49" t="str">
        <f t="shared" si="141"/>
        <v/>
      </c>
      <c r="BC75" s="49" t="str">
        <f t="shared" si="141"/>
        <v/>
      </c>
      <c r="BD75" s="49" t="str">
        <f t="shared" si="141"/>
        <v/>
      </c>
      <c r="BE75" s="49" t="str">
        <f t="shared" si="141"/>
        <v/>
      </c>
      <c r="BF75" s="49" t="str">
        <f t="shared" si="141"/>
        <v/>
      </c>
      <c r="BG75" s="49" t="str">
        <f t="shared" si="141"/>
        <v/>
      </c>
      <c r="BH75" s="49" t="str">
        <f t="shared" si="141"/>
        <v/>
      </c>
      <c r="BI75" s="49" t="str">
        <f t="shared" si="141"/>
        <v/>
      </c>
      <c r="BJ75" s="49" t="str">
        <f t="shared" si="141"/>
        <v/>
      </c>
      <c r="BK75" s="49" t="str">
        <f t="shared" si="141"/>
        <v/>
      </c>
      <c r="BL75" s="49" t="str">
        <f t="shared" si="141"/>
        <v/>
      </c>
      <c r="BM75" s="49" t="str">
        <f t="shared" si="141"/>
        <v/>
      </c>
      <c r="BN75" s="49" t="str">
        <f t="shared" si="141"/>
        <v/>
      </c>
      <c r="BO75" s="49" t="str">
        <f t="shared" si="141"/>
        <v/>
      </c>
      <c r="BP75" s="49">
        <f t="shared" si="141"/>
        <v>-9.1351587337200613E-3</v>
      </c>
      <c r="BQ75" s="49">
        <f t="shared" si="141"/>
        <v>3.097900111319829E-3</v>
      </c>
      <c r="BR75" s="49">
        <f t="shared" si="141"/>
        <v>1.8799152159877819E-2</v>
      </c>
      <c r="BS75" s="49">
        <f t="shared" si="141"/>
        <v>1.2386975497584718E-3</v>
      </c>
      <c r="BT75" s="49">
        <f t="shared" ref="BT75:CY75" si="142">IF(BT33="","",IF(ISERROR(BT33/BS33-1),"",BT33/BS33-1))</f>
        <v>1.6019741477456773E-2</v>
      </c>
      <c r="BU75" s="49">
        <f t="shared" si="142"/>
        <v>1.6700729165494366E-2</v>
      </c>
      <c r="BV75" s="49">
        <f t="shared" si="142"/>
        <v>6.0685250046372818E-3</v>
      </c>
      <c r="BW75" s="49">
        <f t="shared" si="142"/>
        <v>-7.4513953547238332E-3</v>
      </c>
      <c r="BX75" s="49">
        <f t="shared" si="142"/>
        <v>1.5681454524207661E-2</v>
      </c>
      <c r="BY75" s="49">
        <f t="shared" si="142"/>
        <v>-4.3051671722750262E-3</v>
      </c>
      <c r="BZ75" s="49">
        <f t="shared" si="142"/>
        <v>7.3679913065480829E-3</v>
      </c>
      <c r="CA75" s="49">
        <f t="shared" si="142"/>
        <v>-2.2971834379498457E-2</v>
      </c>
      <c r="CB75" s="49">
        <f t="shared" si="142"/>
        <v>1.4658984511969564E-2</v>
      </c>
      <c r="CC75" s="49">
        <f t="shared" si="142"/>
        <v>1.3387401739874072E-2</v>
      </c>
      <c r="CD75" s="49">
        <f t="shared" si="142"/>
        <v>-8.4639828488544122E-3</v>
      </c>
      <c r="CE75" s="49">
        <f t="shared" si="142"/>
        <v>2.0503413857434927E-2</v>
      </c>
      <c r="CF75" s="49">
        <f t="shared" si="142"/>
        <v>4.7304306645774785E-2</v>
      </c>
      <c r="CG75" s="49">
        <f t="shared" si="142"/>
        <v>3.1954653713140324E-2</v>
      </c>
      <c r="CH75" s="49">
        <f t="shared" si="142"/>
        <v>1.59234576838303E-2</v>
      </c>
      <c r="CI75" s="49">
        <f t="shared" si="142"/>
        <v>5.5638496614074384E-4</v>
      </c>
      <c r="CJ75" s="49">
        <f t="shared" si="142"/>
        <v>1.4363080723204025E-2</v>
      </c>
      <c r="CK75" s="49">
        <f t="shared" si="142"/>
        <v>4.7513087127879494E-3</v>
      </c>
      <c r="CL75" s="49">
        <f t="shared" si="142"/>
        <v>7.3078329177984624E-3</v>
      </c>
      <c r="CM75" s="49">
        <f t="shared" si="142"/>
        <v>-4.5715964882885318E-3</v>
      </c>
      <c r="CN75" s="49">
        <f t="shared" si="142"/>
        <v>-2.5635961628366344E-3</v>
      </c>
      <c r="CO75" s="49">
        <f t="shared" si="142"/>
        <v>3.441622451868076E-3</v>
      </c>
      <c r="CP75" s="49">
        <f t="shared" si="142"/>
        <v>1.0233639147894102E-2</v>
      </c>
      <c r="CQ75" s="49">
        <f t="shared" si="142"/>
        <v>2.136061166679859E-2</v>
      </c>
      <c r="CR75" s="49">
        <f t="shared" si="142"/>
        <v>3.4468133916316424E-2</v>
      </c>
      <c r="CS75" s="49">
        <f t="shared" si="142"/>
        <v>2.7712524423564533E-2</v>
      </c>
      <c r="CT75" s="49">
        <f t="shared" si="142"/>
        <v>-3.4658705314605243E-5</v>
      </c>
      <c r="CU75" s="49">
        <f t="shared" si="142"/>
        <v>-9.0162857082735082E-3</v>
      </c>
      <c r="CV75" s="49">
        <f t="shared" si="142"/>
        <v>-1.3210497742744964E-2</v>
      </c>
      <c r="CW75" s="49">
        <f t="shared" si="142"/>
        <v>-7.8177970237653938E-3</v>
      </c>
      <c r="CX75" s="49">
        <f t="shared" si="142"/>
        <v>4.6755350508773663E-3</v>
      </c>
      <c r="CY75" s="49">
        <f t="shared" si="142"/>
        <v>-4.8803043800360602E-4</v>
      </c>
      <c r="CZ75" s="49">
        <f t="shared" ref="CZ75:EE75" si="143">IF(CZ33="","",IF(ISERROR(CZ33/CY33-1),"",CZ33/CY33-1))</f>
        <v>-9.5262866038763327E-3</v>
      </c>
      <c r="DA75" s="49">
        <f t="shared" si="143"/>
        <v>1.3542413817455357E-2</v>
      </c>
      <c r="DB75" s="49">
        <f t="shared" si="143"/>
        <v>-1.3362233329384798E-3</v>
      </c>
      <c r="DC75" s="49">
        <f t="shared" si="143"/>
        <v>-5.1665985811721882E-3</v>
      </c>
      <c r="DD75" s="49">
        <f t="shared" si="143"/>
        <v>4.8150506696242878E-4</v>
      </c>
      <c r="DE75" s="49">
        <f t="shared" si="143"/>
        <v>-2.2145033289977523E-3</v>
      </c>
      <c r="DF75" s="49">
        <f t="shared" si="143"/>
        <v>-1.7169541972599234E-3</v>
      </c>
      <c r="DG75" s="49">
        <f t="shared" si="143"/>
        <v>1.8245073861242744E-3</v>
      </c>
      <c r="DH75" s="49">
        <f t="shared" si="143"/>
        <v>-5.3489111097870801E-4</v>
      </c>
      <c r="DI75" s="49">
        <f t="shared" si="143"/>
        <v>-2.5521617452262113E-4</v>
      </c>
      <c r="DJ75" s="49">
        <f t="shared" si="143"/>
        <v>-9.2641693205841591E-4</v>
      </c>
      <c r="DK75" s="49">
        <f t="shared" si="143"/>
        <v>-4.8497104352854814E-3</v>
      </c>
      <c r="DL75" s="49">
        <f t="shared" si="143"/>
        <v>-6.6271716391389512E-3</v>
      </c>
      <c r="DM75" s="49">
        <f t="shared" si="143"/>
        <v>-9.0884034751126386E-4</v>
      </c>
      <c r="DN75" s="49">
        <f t="shared" si="143"/>
        <v>1.1714175035652863E-2</v>
      </c>
      <c r="DO75" s="49">
        <f t="shared" si="143"/>
        <v>-1.0429745620193387E-2</v>
      </c>
      <c r="DP75" s="49" t="str">
        <f t="shared" si="143"/>
        <v/>
      </c>
      <c r="DQ75" s="49" t="str">
        <f t="shared" si="143"/>
        <v/>
      </c>
      <c r="DR75" s="49" t="str">
        <f t="shared" si="143"/>
        <v/>
      </c>
      <c r="DS75" s="49" t="str">
        <f t="shared" si="143"/>
        <v/>
      </c>
      <c r="DT75" s="49" t="str">
        <f t="shared" si="143"/>
        <v/>
      </c>
      <c r="DU75" s="49" t="str">
        <f t="shared" si="143"/>
        <v/>
      </c>
      <c r="DV75" s="49" t="str">
        <f t="shared" si="143"/>
        <v/>
      </c>
      <c r="DW75" s="49" t="str">
        <f t="shared" si="143"/>
        <v/>
      </c>
      <c r="DX75" s="49" t="str">
        <f t="shared" si="143"/>
        <v/>
      </c>
      <c r="DY75" s="49" t="str">
        <f t="shared" si="143"/>
        <v/>
      </c>
      <c r="DZ75" s="49" t="str">
        <f t="shared" si="143"/>
        <v/>
      </c>
      <c r="EA75" s="49" t="str">
        <f t="shared" si="143"/>
        <v/>
      </c>
      <c r="EB75" s="49" t="str">
        <f t="shared" si="143"/>
        <v/>
      </c>
      <c r="EC75" s="49" t="str">
        <f t="shared" si="143"/>
        <v/>
      </c>
      <c r="ED75" s="49" t="str">
        <f t="shared" si="143"/>
        <v/>
      </c>
      <c r="EE75" s="49" t="str">
        <f t="shared" si="143"/>
        <v/>
      </c>
      <c r="EF75" s="49" t="str">
        <f t="shared" ref="EF75:EL75" si="144">IF(EF33="","",IF(ISERROR(EF33/EE33-1),"",EF33/EE33-1))</f>
        <v/>
      </c>
      <c r="EG75" s="49" t="str">
        <f t="shared" si="144"/>
        <v/>
      </c>
      <c r="EH75" s="49" t="str">
        <f t="shared" si="144"/>
        <v/>
      </c>
      <c r="EI75" s="49" t="str">
        <f t="shared" si="144"/>
        <v/>
      </c>
      <c r="EJ75" s="49" t="str">
        <f t="shared" si="144"/>
        <v/>
      </c>
      <c r="EK75" s="49" t="str">
        <f t="shared" si="144"/>
        <v/>
      </c>
      <c r="EL75" s="49" t="str">
        <f t="shared" si="144"/>
        <v/>
      </c>
    </row>
    <row r="76" spans="2:142" x14ac:dyDescent="0.25">
      <c r="B76" s="30">
        <f t="shared" si="119"/>
        <v>26</v>
      </c>
      <c r="C76" s="31" t="str">
        <f t="shared" si="119"/>
        <v>LECHE EN POLVO</v>
      </c>
      <c r="D76" s="32">
        <f t="shared" si="119"/>
        <v>2.0152E-3</v>
      </c>
      <c r="E76" s="32">
        <f t="shared" si="119"/>
        <v>1.6351037761874628E-2</v>
      </c>
      <c r="G76" s="50"/>
      <c r="H76" s="50" t="str">
        <f t="shared" ref="H76:AM76" si="145">IF(H34="","",IF(ISERROR(H34/G34-1),"",H34/G34-1))</f>
        <v/>
      </c>
      <c r="I76" s="50" t="str">
        <f t="shared" si="145"/>
        <v/>
      </c>
      <c r="J76" s="50" t="str">
        <f t="shared" si="145"/>
        <v/>
      </c>
      <c r="K76" s="50" t="str">
        <f t="shared" si="145"/>
        <v/>
      </c>
      <c r="L76" s="50" t="str">
        <f t="shared" si="145"/>
        <v/>
      </c>
      <c r="M76" s="50" t="str">
        <f t="shared" si="145"/>
        <v/>
      </c>
      <c r="N76" s="50" t="str">
        <f t="shared" si="145"/>
        <v/>
      </c>
      <c r="O76" s="50" t="str">
        <f t="shared" si="145"/>
        <v/>
      </c>
      <c r="P76" s="50" t="str">
        <f t="shared" si="145"/>
        <v/>
      </c>
      <c r="Q76" s="50" t="str">
        <f t="shared" si="145"/>
        <v/>
      </c>
      <c r="R76" s="50" t="str">
        <f t="shared" si="145"/>
        <v/>
      </c>
      <c r="S76" s="50" t="str">
        <f t="shared" si="145"/>
        <v/>
      </c>
      <c r="T76" s="50" t="str">
        <f t="shared" si="145"/>
        <v/>
      </c>
      <c r="U76" s="50" t="str">
        <f t="shared" si="145"/>
        <v/>
      </c>
      <c r="V76" s="50" t="str">
        <f t="shared" si="145"/>
        <v/>
      </c>
      <c r="W76" s="50" t="str">
        <f t="shared" si="145"/>
        <v/>
      </c>
      <c r="X76" s="50" t="str">
        <f t="shared" si="145"/>
        <v/>
      </c>
      <c r="Y76" s="50" t="str">
        <f t="shared" si="145"/>
        <v/>
      </c>
      <c r="Z76" s="50" t="str">
        <f t="shared" si="145"/>
        <v/>
      </c>
      <c r="AA76" s="50" t="str">
        <f t="shared" si="145"/>
        <v/>
      </c>
      <c r="AB76" s="50" t="str">
        <f t="shared" si="145"/>
        <v/>
      </c>
      <c r="AC76" s="50" t="str">
        <f t="shared" si="145"/>
        <v/>
      </c>
      <c r="AD76" s="50" t="str">
        <f t="shared" si="145"/>
        <v/>
      </c>
      <c r="AE76" s="50" t="str">
        <f t="shared" si="145"/>
        <v/>
      </c>
      <c r="AF76" s="50" t="str">
        <f t="shared" si="145"/>
        <v/>
      </c>
      <c r="AG76" s="50">
        <f t="shared" si="145"/>
        <v>5.7592151763845134E-2</v>
      </c>
      <c r="AH76" s="50">
        <f t="shared" si="145"/>
        <v>-5.28376104959416E-3</v>
      </c>
      <c r="AI76" s="50" t="str">
        <f t="shared" si="145"/>
        <v/>
      </c>
      <c r="AJ76" s="50" t="str">
        <f t="shared" si="145"/>
        <v/>
      </c>
      <c r="AK76" s="50">
        <f t="shared" si="145"/>
        <v>8.1950111210140619E-3</v>
      </c>
      <c r="AL76" s="50" t="str">
        <f t="shared" si="145"/>
        <v/>
      </c>
      <c r="AM76" s="50" t="str">
        <f t="shared" si="145"/>
        <v/>
      </c>
      <c r="AN76" s="50">
        <f t="shared" ref="AN76:BS76" si="146">IF(AN34="","",IF(ISERROR(AN34/AM34-1),"",AN34/AM34-1))</f>
        <v>3.9532286063225452E-2</v>
      </c>
      <c r="AO76" s="50" t="str">
        <f t="shared" si="146"/>
        <v/>
      </c>
      <c r="AP76" s="50" t="str">
        <f t="shared" si="146"/>
        <v/>
      </c>
      <c r="AQ76" s="50">
        <f t="shared" si="146"/>
        <v>1.2380772976582133E-2</v>
      </c>
      <c r="AR76" s="50" t="str">
        <f t="shared" si="146"/>
        <v/>
      </c>
      <c r="AS76" s="50" t="str">
        <f t="shared" si="146"/>
        <v/>
      </c>
      <c r="AT76" s="50">
        <f t="shared" si="146"/>
        <v>4.1601966675060664E-2</v>
      </c>
      <c r="AU76" s="50" t="str">
        <f t="shared" si="146"/>
        <v/>
      </c>
      <c r="AV76" s="50" t="str">
        <f t="shared" si="146"/>
        <v/>
      </c>
      <c r="AW76" s="50">
        <f t="shared" si="146"/>
        <v>-2.8872030951113681E-3</v>
      </c>
      <c r="AX76" s="50">
        <f t="shared" si="146"/>
        <v>1.6941186870384373E-2</v>
      </c>
      <c r="AY76" s="50">
        <f t="shared" si="146"/>
        <v>-2.4104521979776417E-2</v>
      </c>
      <c r="AZ76" s="50" t="str">
        <f t="shared" si="146"/>
        <v/>
      </c>
      <c r="BA76" s="50" t="str">
        <f t="shared" si="146"/>
        <v/>
      </c>
      <c r="BB76" s="50">
        <f t="shared" si="146"/>
        <v>4.3861010892360941E-3</v>
      </c>
      <c r="BC76" s="50" t="str">
        <f t="shared" si="146"/>
        <v/>
      </c>
      <c r="BD76" s="50" t="str">
        <f t="shared" si="146"/>
        <v/>
      </c>
      <c r="BE76" s="50">
        <f t="shared" si="146"/>
        <v>5.147807170264862E-4</v>
      </c>
      <c r="BF76" s="50" t="str">
        <f t="shared" si="146"/>
        <v/>
      </c>
      <c r="BG76" s="50" t="str">
        <f t="shared" si="146"/>
        <v/>
      </c>
      <c r="BH76" s="50">
        <f t="shared" si="146"/>
        <v>5.0147666207128294E-2</v>
      </c>
      <c r="BI76" s="50" t="str">
        <f t="shared" si="146"/>
        <v/>
      </c>
      <c r="BJ76" s="50" t="str">
        <f t="shared" si="146"/>
        <v/>
      </c>
      <c r="BK76" s="50">
        <f t="shared" si="146"/>
        <v>-2.0520645064697196E-2</v>
      </c>
      <c r="BL76" s="50">
        <f t="shared" si="146"/>
        <v>-8.2926351742745874E-3</v>
      </c>
      <c r="BM76" s="50">
        <f t="shared" si="146"/>
        <v>-2.471940853146859E-2</v>
      </c>
      <c r="BN76" s="50">
        <f t="shared" si="146"/>
        <v>5.2530648606881059E-3</v>
      </c>
      <c r="BO76" s="50">
        <f t="shared" si="146"/>
        <v>1.1626105581434842E-3</v>
      </c>
      <c r="BP76" s="50">
        <f t="shared" si="146"/>
        <v>-1.4056398927083658E-2</v>
      </c>
      <c r="BQ76" s="50">
        <f t="shared" si="146"/>
        <v>5.2039983771750009E-3</v>
      </c>
      <c r="BR76" s="50">
        <f t="shared" si="146"/>
        <v>-1.5356184133060946E-2</v>
      </c>
      <c r="BS76" s="50">
        <f t="shared" si="146"/>
        <v>-1.405020401939916E-2</v>
      </c>
      <c r="BT76" s="50">
        <f t="shared" ref="BT76:CY76" si="147">IF(BT34="","",IF(ISERROR(BT34/BS34-1),"",BT34/BS34-1))</f>
        <v>-1.9064290717463517E-2</v>
      </c>
      <c r="BU76" s="50">
        <f t="shared" si="147"/>
        <v>1.1655727817677208E-2</v>
      </c>
      <c r="BV76" s="50">
        <f t="shared" si="147"/>
        <v>2.7963192811496285E-2</v>
      </c>
      <c r="BW76" s="50">
        <f t="shared" si="147"/>
        <v>-4.2637782336230057E-4</v>
      </c>
      <c r="BX76" s="50">
        <f t="shared" si="147"/>
        <v>-1.5911913530998967E-2</v>
      </c>
      <c r="BY76" s="50">
        <f t="shared" si="147"/>
        <v>2.5287878367501238E-2</v>
      </c>
      <c r="BZ76" s="50">
        <f t="shared" si="147"/>
        <v>-1.9824008323153786E-2</v>
      </c>
      <c r="CA76" s="50">
        <f t="shared" si="147"/>
        <v>7.8626311263367832E-3</v>
      </c>
      <c r="CB76" s="50">
        <f t="shared" si="147"/>
        <v>1.7121309167657195E-2</v>
      </c>
      <c r="CC76" s="50">
        <f t="shared" si="147"/>
        <v>3.1429532049157549E-2</v>
      </c>
      <c r="CD76" s="50">
        <f t="shared" si="147"/>
        <v>7.4734696291849367E-3</v>
      </c>
      <c r="CE76" s="50">
        <f t="shared" si="147"/>
        <v>6.0677097886552289E-3</v>
      </c>
      <c r="CF76" s="50">
        <f t="shared" si="147"/>
        <v>4.3061918868764648E-2</v>
      </c>
      <c r="CG76" s="50">
        <f t="shared" si="147"/>
        <v>-3.897095434128528E-3</v>
      </c>
      <c r="CH76" s="50">
        <f t="shared" si="147"/>
        <v>-1.7858584698600355E-2</v>
      </c>
      <c r="CI76" s="50">
        <f t="shared" si="147"/>
        <v>-2.2075362288319189E-2</v>
      </c>
      <c r="CJ76" s="50">
        <f t="shared" si="147"/>
        <v>5.4404785783948917E-2</v>
      </c>
      <c r="CK76" s="50">
        <f t="shared" si="147"/>
        <v>6.7505564543903773E-3</v>
      </c>
      <c r="CL76" s="50">
        <f t="shared" si="147"/>
        <v>-2.3017604061161379E-2</v>
      </c>
      <c r="CM76" s="50">
        <f t="shared" si="147"/>
        <v>1.3742393466403824E-2</v>
      </c>
      <c r="CN76" s="50">
        <f t="shared" si="147"/>
        <v>-3.3227925641804434E-3</v>
      </c>
      <c r="CO76" s="50">
        <f t="shared" si="147"/>
        <v>7.4298966268673272E-3</v>
      </c>
      <c r="CP76" s="50">
        <f t="shared" si="147"/>
        <v>-8.9251656561439852E-3</v>
      </c>
      <c r="CQ76" s="50">
        <f t="shared" si="147"/>
        <v>-2.1349225506542835E-3</v>
      </c>
      <c r="CR76" s="50">
        <f t="shared" si="147"/>
        <v>1.8059549423472321E-2</v>
      </c>
      <c r="CS76" s="50">
        <f t="shared" si="147"/>
        <v>2.9763412832295E-2</v>
      </c>
      <c r="CT76" s="50">
        <f t="shared" si="147"/>
        <v>-2.6991808554270635E-2</v>
      </c>
      <c r="CU76" s="50">
        <f t="shared" si="147"/>
        <v>-5.0023455878583922E-3</v>
      </c>
      <c r="CV76" s="50">
        <f t="shared" si="147"/>
        <v>3.6743289830032388E-3</v>
      </c>
      <c r="CW76" s="50">
        <f t="shared" si="147"/>
        <v>1.0627178280393057E-2</v>
      </c>
      <c r="CX76" s="50">
        <f t="shared" si="147"/>
        <v>7.0814292180361171E-3</v>
      </c>
      <c r="CY76" s="50">
        <f t="shared" si="147"/>
        <v>9.5357840278547101E-3</v>
      </c>
      <c r="CZ76" s="50">
        <f t="shared" ref="CZ76:EE76" si="148">IF(CZ34="","",IF(ISERROR(CZ34/CY34-1),"",CZ34/CY34-1))</f>
        <v>2.0332460786439022E-2</v>
      </c>
      <c r="DA76" s="50">
        <f t="shared" si="148"/>
        <v>-1.0622198507529879E-2</v>
      </c>
      <c r="DB76" s="50">
        <f t="shared" si="148"/>
        <v>-2.1087163896097105E-2</v>
      </c>
      <c r="DC76" s="50">
        <f t="shared" si="148"/>
        <v>-7.5143206254261186E-3</v>
      </c>
      <c r="DD76" s="50">
        <f t="shared" si="148"/>
        <v>-5.2327522223126754E-3</v>
      </c>
      <c r="DE76" s="50">
        <f t="shared" si="148"/>
        <v>3.1016260862355427E-2</v>
      </c>
      <c r="DF76" s="50">
        <f t="shared" si="148"/>
        <v>3.3219672435071956E-3</v>
      </c>
      <c r="DG76" s="50">
        <f t="shared" si="148"/>
        <v>-6.9760768899892467E-3</v>
      </c>
      <c r="DH76" s="50">
        <f t="shared" si="148"/>
        <v>2.0224469105314391E-3</v>
      </c>
      <c r="DI76" s="50">
        <f t="shared" si="148"/>
        <v>9.2937412436373545E-3</v>
      </c>
      <c r="DJ76" s="50">
        <f t="shared" si="148"/>
        <v>-4.0591818376899624E-2</v>
      </c>
      <c r="DK76" s="50">
        <f t="shared" si="148"/>
        <v>1.9583990108255733E-2</v>
      </c>
      <c r="DL76" s="50">
        <f t="shared" si="148"/>
        <v>2.4744351856935021E-2</v>
      </c>
      <c r="DM76" s="50">
        <f t="shared" si="148"/>
        <v>1.8143634132790964E-2</v>
      </c>
      <c r="DN76" s="50">
        <f t="shared" si="148"/>
        <v>2.9795616135979808E-2</v>
      </c>
      <c r="DO76" s="50">
        <f t="shared" si="148"/>
        <v>-1.1165774308674714E-2</v>
      </c>
      <c r="DP76" s="50" t="str">
        <f t="shared" si="148"/>
        <v/>
      </c>
      <c r="DQ76" s="50" t="str">
        <f t="shared" si="148"/>
        <v/>
      </c>
      <c r="DR76" s="50" t="str">
        <f t="shared" si="148"/>
        <v/>
      </c>
      <c r="DS76" s="50" t="str">
        <f t="shared" si="148"/>
        <v/>
      </c>
      <c r="DT76" s="50" t="str">
        <f t="shared" si="148"/>
        <v/>
      </c>
      <c r="DU76" s="50" t="str">
        <f t="shared" si="148"/>
        <v/>
      </c>
      <c r="DV76" s="50" t="str">
        <f t="shared" si="148"/>
        <v/>
      </c>
      <c r="DW76" s="50" t="str">
        <f t="shared" si="148"/>
        <v/>
      </c>
      <c r="DX76" s="50" t="str">
        <f t="shared" si="148"/>
        <v/>
      </c>
      <c r="DY76" s="50" t="str">
        <f t="shared" si="148"/>
        <v/>
      </c>
      <c r="DZ76" s="50" t="str">
        <f t="shared" si="148"/>
        <v/>
      </c>
      <c r="EA76" s="50" t="str">
        <f t="shared" si="148"/>
        <v/>
      </c>
      <c r="EB76" s="50" t="str">
        <f t="shared" si="148"/>
        <v/>
      </c>
      <c r="EC76" s="50" t="str">
        <f t="shared" si="148"/>
        <v/>
      </c>
      <c r="ED76" s="50" t="str">
        <f t="shared" si="148"/>
        <v/>
      </c>
      <c r="EE76" s="50" t="str">
        <f t="shared" si="148"/>
        <v/>
      </c>
      <c r="EF76" s="50" t="str">
        <f t="shared" ref="EF76:EL76" si="149">IF(EF34="","",IF(ISERROR(EF34/EE34-1),"",EF34/EE34-1))</f>
        <v/>
      </c>
      <c r="EG76" s="50" t="str">
        <f t="shared" si="149"/>
        <v/>
      </c>
      <c r="EH76" s="50" t="str">
        <f t="shared" si="149"/>
        <v/>
      </c>
      <c r="EI76" s="50" t="str">
        <f t="shared" si="149"/>
        <v/>
      </c>
      <c r="EJ76" s="50" t="str">
        <f t="shared" si="149"/>
        <v/>
      </c>
      <c r="EK76" s="50" t="str">
        <f t="shared" si="149"/>
        <v/>
      </c>
      <c r="EL76" s="50" t="str">
        <f t="shared" si="149"/>
        <v/>
      </c>
    </row>
    <row r="77" spans="2:142" x14ac:dyDescent="0.25">
      <c r="B77" s="34">
        <f t="shared" si="119"/>
        <v>27</v>
      </c>
      <c r="C77" s="35" t="str">
        <f t="shared" si="119"/>
        <v>LECHE LÍQUIDA</v>
      </c>
      <c r="D77" s="36">
        <f t="shared" si="119"/>
        <v>4.8948999999999998E-3</v>
      </c>
      <c r="E77" s="36">
        <f t="shared" si="119"/>
        <v>3.9716501955438722E-2</v>
      </c>
      <c r="G77" s="51"/>
      <c r="H77" s="51" t="str">
        <f t="shared" ref="H77:AM77" si="150">IF(H35="","",IF(ISERROR(H35/G35-1),"",H35/G35-1))</f>
        <v/>
      </c>
      <c r="I77" s="51" t="str">
        <f t="shared" si="150"/>
        <v/>
      </c>
      <c r="J77" s="51" t="str">
        <f t="shared" si="150"/>
        <v/>
      </c>
      <c r="K77" s="51" t="str">
        <f t="shared" si="150"/>
        <v/>
      </c>
      <c r="L77" s="51" t="str">
        <f t="shared" si="150"/>
        <v/>
      </c>
      <c r="M77" s="51" t="str">
        <f t="shared" si="150"/>
        <v/>
      </c>
      <c r="N77" s="51" t="str">
        <f t="shared" si="150"/>
        <v/>
      </c>
      <c r="O77" s="51" t="str">
        <f t="shared" si="150"/>
        <v/>
      </c>
      <c r="P77" s="51" t="str">
        <f t="shared" si="150"/>
        <v/>
      </c>
      <c r="Q77" s="51" t="str">
        <f t="shared" si="150"/>
        <v/>
      </c>
      <c r="R77" s="51" t="str">
        <f t="shared" si="150"/>
        <v/>
      </c>
      <c r="S77" s="51" t="str">
        <f t="shared" si="150"/>
        <v/>
      </c>
      <c r="T77" s="51" t="str">
        <f t="shared" si="150"/>
        <v/>
      </c>
      <c r="U77" s="51" t="str">
        <f t="shared" si="150"/>
        <v/>
      </c>
      <c r="V77" s="51" t="str">
        <f t="shared" si="150"/>
        <v/>
      </c>
      <c r="W77" s="51" t="str">
        <f t="shared" si="150"/>
        <v/>
      </c>
      <c r="X77" s="51" t="str">
        <f t="shared" si="150"/>
        <v/>
      </c>
      <c r="Y77" s="51" t="str">
        <f t="shared" si="150"/>
        <v/>
      </c>
      <c r="Z77" s="51" t="str">
        <f t="shared" si="150"/>
        <v/>
      </c>
      <c r="AA77" s="51" t="str">
        <f t="shared" si="150"/>
        <v/>
      </c>
      <c r="AB77" s="51">
        <f t="shared" si="150"/>
        <v>-1.5371763387130088E-2</v>
      </c>
      <c r="AC77" s="51" t="str">
        <f t="shared" si="150"/>
        <v/>
      </c>
      <c r="AD77" s="51" t="str">
        <f t="shared" si="150"/>
        <v/>
      </c>
      <c r="AE77" s="51">
        <f t="shared" si="150"/>
        <v>-5.0253372274450259E-3</v>
      </c>
      <c r="AF77" s="51">
        <f t="shared" si="150"/>
        <v>-2.3055471143506701E-2</v>
      </c>
      <c r="AG77" s="51">
        <f t="shared" si="150"/>
        <v>3.4942671533026992E-3</v>
      </c>
      <c r="AH77" s="51">
        <f t="shared" si="150"/>
        <v>3.5867956485025054E-4</v>
      </c>
      <c r="AI77" s="51" t="str">
        <f t="shared" si="150"/>
        <v/>
      </c>
      <c r="AJ77" s="51" t="str">
        <f t="shared" si="150"/>
        <v/>
      </c>
      <c r="AK77" s="51">
        <f t="shared" si="150"/>
        <v>1.7734793325140163E-2</v>
      </c>
      <c r="AL77" s="51" t="str">
        <f t="shared" si="150"/>
        <v/>
      </c>
      <c r="AM77" s="51" t="str">
        <f t="shared" si="150"/>
        <v/>
      </c>
      <c r="AN77" s="51">
        <f t="shared" ref="AN77:BS77" si="151">IF(AN35="","",IF(ISERROR(AN35/AM35-1),"",AN35/AM35-1))</f>
        <v>1.4895274766159705E-2</v>
      </c>
      <c r="AO77" s="51" t="str">
        <f t="shared" si="151"/>
        <v/>
      </c>
      <c r="AP77" s="51" t="str">
        <f t="shared" si="151"/>
        <v/>
      </c>
      <c r="AQ77" s="51">
        <f t="shared" si="151"/>
        <v>-2.1469788074629514E-3</v>
      </c>
      <c r="AR77" s="51" t="str">
        <f t="shared" si="151"/>
        <v/>
      </c>
      <c r="AS77" s="51" t="str">
        <f t="shared" si="151"/>
        <v/>
      </c>
      <c r="AT77" s="51">
        <f t="shared" si="151"/>
        <v>4.9258733816626599E-2</v>
      </c>
      <c r="AU77" s="51" t="str">
        <f t="shared" si="151"/>
        <v/>
      </c>
      <c r="AV77" s="51" t="str">
        <f t="shared" si="151"/>
        <v/>
      </c>
      <c r="AW77" s="51">
        <f t="shared" si="151"/>
        <v>3.3987458475603471E-2</v>
      </c>
      <c r="AX77" s="51">
        <f t="shared" si="151"/>
        <v>-2.114933411251041E-2</v>
      </c>
      <c r="AY77" s="51">
        <f t="shared" si="151"/>
        <v>3.4146124980785064E-3</v>
      </c>
      <c r="AZ77" s="51" t="str">
        <f t="shared" si="151"/>
        <v/>
      </c>
      <c r="BA77" s="51" t="str">
        <f t="shared" si="151"/>
        <v/>
      </c>
      <c r="BB77" s="51">
        <f t="shared" si="151"/>
        <v>-9.0939403630339033E-3</v>
      </c>
      <c r="BC77" s="51" t="str">
        <f t="shared" si="151"/>
        <v/>
      </c>
      <c r="BD77" s="51" t="str">
        <f t="shared" si="151"/>
        <v/>
      </c>
      <c r="BE77" s="51">
        <f t="shared" si="151"/>
        <v>4.748130189212274E-3</v>
      </c>
      <c r="BF77" s="51" t="str">
        <f t="shared" si="151"/>
        <v/>
      </c>
      <c r="BG77" s="51" t="str">
        <f t="shared" si="151"/>
        <v/>
      </c>
      <c r="BH77" s="51">
        <f t="shared" si="151"/>
        <v>8.7461740169039182E-3</v>
      </c>
      <c r="BI77" s="51" t="str">
        <f t="shared" si="151"/>
        <v/>
      </c>
      <c r="BJ77" s="51" t="str">
        <f t="shared" si="151"/>
        <v/>
      </c>
      <c r="BK77" s="51">
        <f t="shared" si="151"/>
        <v>1.9337698430311523E-2</v>
      </c>
      <c r="BL77" s="51">
        <f t="shared" si="151"/>
        <v>-3.2412764708102282E-2</v>
      </c>
      <c r="BM77" s="51">
        <f t="shared" si="151"/>
        <v>-1.8706006893214666E-2</v>
      </c>
      <c r="BN77" s="51">
        <f t="shared" si="151"/>
        <v>-1.4960350658795862E-3</v>
      </c>
      <c r="BO77" s="51">
        <f t="shared" si="151"/>
        <v>-9.2575810699638827E-3</v>
      </c>
      <c r="BP77" s="51">
        <f t="shared" si="151"/>
        <v>1.4148699663147912E-3</v>
      </c>
      <c r="BQ77" s="51">
        <f t="shared" si="151"/>
        <v>1.3455219792091411E-2</v>
      </c>
      <c r="BR77" s="51">
        <f t="shared" si="151"/>
        <v>4.2289014803600367E-3</v>
      </c>
      <c r="BS77" s="51">
        <f t="shared" si="151"/>
        <v>7.6535901528367312E-3</v>
      </c>
      <c r="BT77" s="51">
        <f t="shared" ref="BT77:CY77" si="152">IF(BT35="","",IF(ISERROR(BT35/BS35-1),"",BT35/BS35-1))</f>
        <v>3.6584421767666964E-3</v>
      </c>
      <c r="BU77" s="51">
        <f t="shared" si="152"/>
        <v>-3.0035855546171053E-3</v>
      </c>
      <c r="BV77" s="51">
        <f t="shared" si="152"/>
        <v>-9.350652586206043E-3</v>
      </c>
      <c r="BW77" s="51">
        <f t="shared" si="152"/>
        <v>5.1680925039652159E-3</v>
      </c>
      <c r="BX77" s="51">
        <f t="shared" si="152"/>
        <v>1.7351546051534772E-2</v>
      </c>
      <c r="BY77" s="51">
        <f t="shared" si="152"/>
        <v>-6.7215070985785497E-3</v>
      </c>
      <c r="BZ77" s="51">
        <f t="shared" si="152"/>
        <v>-7.1117930051745049E-3</v>
      </c>
      <c r="CA77" s="51">
        <f t="shared" si="152"/>
        <v>9.6186266863766967E-3</v>
      </c>
      <c r="CB77" s="51">
        <f t="shared" si="152"/>
        <v>1.5010054223284941E-2</v>
      </c>
      <c r="CC77" s="51">
        <f t="shared" si="152"/>
        <v>2.1319715777430304E-2</v>
      </c>
      <c r="CD77" s="51">
        <f t="shared" si="152"/>
        <v>1.4657662931061299E-2</v>
      </c>
      <c r="CE77" s="51">
        <f t="shared" si="152"/>
        <v>2.6753973687611232E-2</v>
      </c>
      <c r="CF77" s="51">
        <f t="shared" si="152"/>
        <v>6.8573764235408952E-3</v>
      </c>
      <c r="CG77" s="51">
        <f t="shared" si="152"/>
        <v>7.6351354866992516E-3</v>
      </c>
      <c r="CH77" s="51">
        <f t="shared" si="152"/>
        <v>1.7691140478677259E-3</v>
      </c>
      <c r="CI77" s="51">
        <f t="shared" si="152"/>
        <v>1.3613626786077582E-3</v>
      </c>
      <c r="CJ77" s="51">
        <f t="shared" si="152"/>
        <v>-1.5361837216568364E-2</v>
      </c>
      <c r="CK77" s="51">
        <f t="shared" si="152"/>
        <v>1.1356955334682617E-3</v>
      </c>
      <c r="CL77" s="51">
        <f t="shared" si="152"/>
        <v>-5.3547950860826088E-3</v>
      </c>
      <c r="CM77" s="51">
        <f t="shared" si="152"/>
        <v>-3.6670144163301055E-3</v>
      </c>
      <c r="CN77" s="51">
        <f t="shared" si="152"/>
        <v>-1.8962230016039694E-4</v>
      </c>
      <c r="CO77" s="51">
        <f t="shared" si="152"/>
        <v>3.3804580659033689E-3</v>
      </c>
      <c r="CP77" s="51">
        <f t="shared" si="152"/>
        <v>4.1805483022247181E-2</v>
      </c>
      <c r="CQ77" s="51">
        <f t="shared" si="152"/>
        <v>3.3764145003549295E-2</v>
      </c>
      <c r="CR77" s="51">
        <f t="shared" si="152"/>
        <v>4.0322482596598874E-2</v>
      </c>
      <c r="CS77" s="51">
        <f t="shared" si="152"/>
        <v>1.3957237356879038E-2</v>
      </c>
      <c r="CT77" s="51">
        <f t="shared" si="152"/>
        <v>6.6071774955753781E-3</v>
      </c>
      <c r="CU77" s="51">
        <f t="shared" si="152"/>
        <v>-7.0382580707913922E-3</v>
      </c>
      <c r="CV77" s="51">
        <f t="shared" si="152"/>
        <v>-4.8230516448832805E-4</v>
      </c>
      <c r="CW77" s="51">
        <f t="shared" si="152"/>
        <v>-2.3041642044341448E-2</v>
      </c>
      <c r="CX77" s="51">
        <f t="shared" si="152"/>
        <v>-4.1169256017347444E-2</v>
      </c>
      <c r="CY77" s="51">
        <f t="shared" si="152"/>
        <v>-1.6807928225240243E-2</v>
      </c>
      <c r="CZ77" s="51">
        <f t="shared" ref="CZ77:EE77" si="153">IF(CZ35="","",IF(ISERROR(CZ35/CY35-1),"",CZ35/CY35-1))</f>
        <v>-2.8969205754454941E-2</v>
      </c>
      <c r="DA77" s="51">
        <f t="shared" si="153"/>
        <v>-1.0815772426488568E-2</v>
      </c>
      <c r="DB77" s="51">
        <f t="shared" si="153"/>
        <v>2.9386517503173559E-2</v>
      </c>
      <c r="DC77" s="51">
        <f t="shared" si="153"/>
        <v>-1.1315429361988816E-3</v>
      </c>
      <c r="DD77" s="51">
        <f t="shared" si="153"/>
        <v>2.5717846051664273E-2</v>
      </c>
      <c r="DE77" s="51">
        <f t="shared" si="153"/>
        <v>3.1738809657742673E-2</v>
      </c>
      <c r="DF77" s="51">
        <f t="shared" si="153"/>
        <v>7.5066453619656581E-3</v>
      </c>
      <c r="DG77" s="51">
        <f t="shared" si="153"/>
        <v>-2.0628025852435061E-2</v>
      </c>
      <c r="DH77" s="51">
        <f t="shared" si="153"/>
        <v>2.161866177843752E-3</v>
      </c>
      <c r="DI77" s="51">
        <f t="shared" si="153"/>
        <v>-5.3433434697589544E-3</v>
      </c>
      <c r="DJ77" s="51">
        <f t="shared" si="153"/>
        <v>-9.0793456125634053E-3</v>
      </c>
      <c r="DK77" s="51">
        <f t="shared" si="153"/>
        <v>1.4148866671966021E-2</v>
      </c>
      <c r="DL77" s="51">
        <f t="shared" si="153"/>
        <v>1.6389671049348298E-2</v>
      </c>
      <c r="DM77" s="51">
        <f t="shared" si="153"/>
        <v>-1.4817323483702349E-3</v>
      </c>
      <c r="DN77" s="51">
        <f t="shared" si="153"/>
        <v>2.5035063743077401E-2</v>
      </c>
      <c r="DO77" s="51">
        <f t="shared" si="153"/>
        <v>-2.9394394412682323E-2</v>
      </c>
      <c r="DP77" s="51" t="str">
        <f t="shared" si="153"/>
        <v/>
      </c>
      <c r="DQ77" s="51" t="str">
        <f t="shared" si="153"/>
        <v/>
      </c>
      <c r="DR77" s="51" t="str">
        <f t="shared" si="153"/>
        <v/>
      </c>
      <c r="DS77" s="51" t="str">
        <f t="shared" si="153"/>
        <v/>
      </c>
      <c r="DT77" s="51" t="str">
        <f t="shared" si="153"/>
        <v/>
      </c>
      <c r="DU77" s="51" t="str">
        <f t="shared" si="153"/>
        <v/>
      </c>
      <c r="DV77" s="51" t="str">
        <f t="shared" si="153"/>
        <v/>
      </c>
      <c r="DW77" s="51" t="str">
        <f t="shared" si="153"/>
        <v/>
      </c>
      <c r="DX77" s="51" t="str">
        <f t="shared" si="153"/>
        <v/>
      </c>
      <c r="DY77" s="51" t="str">
        <f t="shared" si="153"/>
        <v/>
      </c>
      <c r="DZ77" s="51" t="str">
        <f t="shared" si="153"/>
        <v/>
      </c>
      <c r="EA77" s="51" t="str">
        <f t="shared" si="153"/>
        <v/>
      </c>
      <c r="EB77" s="51" t="str">
        <f t="shared" si="153"/>
        <v/>
      </c>
      <c r="EC77" s="51" t="str">
        <f t="shared" si="153"/>
        <v/>
      </c>
      <c r="ED77" s="51" t="str">
        <f t="shared" si="153"/>
        <v/>
      </c>
      <c r="EE77" s="51" t="str">
        <f t="shared" si="153"/>
        <v/>
      </c>
      <c r="EF77" s="51" t="str">
        <f t="shared" ref="EF77:EL77" si="154">IF(EF35="","",IF(ISERROR(EF35/EE35-1),"",EF35/EE35-1))</f>
        <v/>
      </c>
      <c r="EG77" s="51" t="str">
        <f t="shared" si="154"/>
        <v/>
      </c>
      <c r="EH77" s="51" t="str">
        <f t="shared" si="154"/>
        <v/>
      </c>
      <c r="EI77" s="51" t="str">
        <f t="shared" si="154"/>
        <v/>
      </c>
      <c r="EJ77" s="51" t="str">
        <f t="shared" si="154"/>
        <v/>
      </c>
      <c r="EK77" s="51" t="str">
        <f t="shared" si="154"/>
        <v/>
      </c>
      <c r="EL77" s="51" t="str">
        <f t="shared" si="154"/>
        <v/>
      </c>
    </row>
    <row r="78" spans="2:142" x14ac:dyDescent="0.25">
      <c r="B78" s="34">
        <f t="shared" si="119"/>
        <v>28</v>
      </c>
      <c r="C78" s="35" t="str">
        <f t="shared" si="119"/>
        <v>MANTEQUILLA</v>
      </c>
      <c r="D78" s="36">
        <f t="shared" si="119"/>
        <v>1.2313999999999999E-3</v>
      </c>
      <c r="E78" s="36">
        <f t="shared" si="119"/>
        <v>9.9913993151907569E-3</v>
      </c>
      <c r="G78" s="51"/>
      <c r="H78" s="51" t="str">
        <f t="shared" ref="H78:AM78" si="155">IF(H36="","",IF(ISERROR(H36/G36-1),"",H36/G36-1))</f>
        <v/>
      </c>
      <c r="I78" s="51" t="str">
        <f t="shared" si="155"/>
        <v/>
      </c>
      <c r="J78" s="51" t="str">
        <f t="shared" si="155"/>
        <v/>
      </c>
      <c r="K78" s="51" t="str">
        <f t="shared" si="155"/>
        <v/>
      </c>
      <c r="L78" s="51" t="str">
        <f t="shared" si="155"/>
        <v/>
      </c>
      <c r="M78" s="51" t="str">
        <f t="shared" si="155"/>
        <v/>
      </c>
      <c r="N78" s="51" t="str">
        <f t="shared" si="155"/>
        <v/>
      </c>
      <c r="O78" s="51" t="str">
        <f t="shared" si="155"/>
        <v/>
      </c>
      <c r="P78" s="51" t="str">
        <f t="shared" si="155"/>
        <v/>
      </c>
      <c r="Q78" s="51" t="str">
        <f t="shared" si="155"/>
        <v/>
      </c>
      <c r="R78" s="51" t="str">
        <f t="shared" si="155"/>
        <v/>
      </c>
      <c r="S78" s="51" t="str">
        <f t="shared" si="155"/>
        <v/>
      </c>
      <c r="T78" s="51" t="str">
        <f t="shared" si="155"/>
        <v/>
      </c>
      <c r="U78" s="51" t="str">
        <f t="shared" si="155"/>
        <v/>
      </c>
      <c r="V78" s="51" t="str">
        <f t="shared" si="155"/>
        <v/>
      </c>
      <c r="W78" s="51" t="str">
        <f t="shared" si="155"/>
        <v/>
      </c>
      <c r="X78" s="51" t="str">
        <f t="shared" si="155"/>
        <v/>
      </c>
      <c r="Y78" s="51" t="str">
        <f t="shared" si="155"/>
        <v/>
      </c>
      <c r="Z78" s="51" t="str">
        <f t="shared" si="155"/>
        <v/>
      </c>
      <c r="AA78" s="51" t="str">
        <f t="shared" si="155"/>
        <v/>
      </c>
      <c r="AB78" s="51" t="str">
        <f t="shared" si="155"/>
        <v/>
      </c>
      <c r="AC78" s="51" t="str">
        <f t="shared" si="155"/>
        <v/>
      </c>
      <c r="AD78" s="51" t="str">
        <f t="shared" si="155"/>
        <v/>
      </c>
      <c r="AE78" s="51" t="str">
        <f t="shared" si="155"/>
        <v/>
      </c>
      <c r="AF78" s="51" t="str">
        <f t="shared" si="155"/>
        <v/>
      </c>
      <c r="AG78" s="51" t="str">
        <f t="shared" si="155"/>
        <v/>
      </c>
      <c r="AH78" s="51" t="str">
        <f t="shared" si="155"/>
        <v/>
      </c>
      <c r="AI78" s="51" t="str">
        <f t="shared" si="155"/>
        <v/>
      </c>
      <c r="AJ78" s="51" t="str">
        <f t="shared" si="155"/>
        <v/>
      </c>
      <c r="AK78" s="51" t="str">
        <f t="shared" si="155"/>
        <v/>
      </c>
      <c r="AL78" s="51" t="str">
        <f t="shared" si="155"/>
        <v/>
      </c>
      <c r="AM78" s="51" t="str">
        <f t="shared" si="155"/>
        <v/>
      </c>
      <c r="AN78" s="51" t="str">
        <f t="shared" ref="AN78:BS78" si="156">IF(AN36="","",IF(ISERROR(AN36/AM36-1),"",AN36/AM36-1))</f>
        <v/>
      </c>
      <c r="AO78" s="51" t="str">
        <f t="shared" si="156"/>
        <v/>
      </c>
      <c r="AP78" s="51" t="str">
        <f t="shared" si="156"/>
        <v/>
      </c>
      <c r="AQ78" s="51" t="str">
        <f t="shared" si="156"/>
        <v/>
      </c>
      <c r="AR78" s="51" t="str">
        <f t="shared" si="156"/>
        <v/>
      </c>
      <c r="AS78" s="51" t="str">
        <f t="shared" si="156"/>
        <v/>
      </c>
      <c r="AT78" s="51" t="str">
        <f t="shared" si="156"/>
        <v/>
      </c>
      <c r="AU78" s="51" t="str">
        <f t="shared" si="156"/>
        <v/>
      </c>
      <c r="AV78" s="51" t="str">
        <f t="shared" si="156"/>
        <v/>
      </c>
      <c r="AW78" s="51" t="str">
        <f t="shared" si="156"/>
        <v/>
      </c>
      <c r="AX78" s="51" t="str">
        <f t="shared" si="156"/>
        <v/>
      </c>
      <c r="AY78" s="51" t="str">
        <f t="shared" si="156"/>
        <v/>
      </c>
      <c r="AZ78" s="51" t="str">
        <f t="shared" si="156"/>
        <v/>
      </c>
      <c r="BA78" s="51" t="str">
        <f t="shared" si="156"/>
        <v/>
      </c>
      <c r="BB78" s="51" t="str">
        <f t="shared" si="156"/>
        <v/>
      </c>
      <c r="BC78" s="51" t="str">
        <f t="shared" si="156"/>
        <v/>
      </c>
      <c r="BD78" s="51" t="str">
        <f t="shared" si="156"/>
        <v/>
      </c>
      <c r="BE78" s="51" t="str">
        <f t="shared" si="156"/>
        <v/>
      </c>
      <c r="BF78" s="51" t="str">
        <f t="shared" si="156"/>
        <v/>
      </c>
      <c r="BG78" s="51" t="str">
        <f t="shared" si="156"/>
        <v/>
      </c>
      <c r="BH78" s="51" t="str">
        <f t="shared" si="156"/>
        <v/>
      </c>
      <c r="BI78" s="51" t="str">
        <f t="shared" si="156"/>
        <v/>
      </c>
      <c r="BJ78" s="51" t="str">
        <f t="shared" si="156"/>
        <v/>
      </c>
      <c r="BK78" s="51" t="str">
        <f t="shared" si="156"/>
        <v/>
      </c>
      <c r="BL78" s="51" t="str">
        <f t="shared" si="156"/>
        <v/>
      </c>
      <c r="BM78" s="51" t="str">
        <f t="shared" si="156"/>
        <v/>
      </c>
      <c r="BN78" s="51" t="str">
        <f t="shared" si="156"/>
        <v/>
      </c>
      <c r="BO78" s="51" t="str">
        <f t="shared" si="156"/>
        <v/>
      </c>
      <c r="BP78" s="51">
        <f t="shared" si="156"/>
        <v>2.2128238698803315E-2</v>
      </c>
      <c r="BQ78" s="51">
        <f t="shared" si="156"/>
        <v>-6.0061997489158081E-3</v>
      </c>
      <c r="BR78" s="51">
        <f t="shared" si="156"/>
        <v>-2.1227670348674677E-3</v>
      </c>
      <c r="BS78" s="51">
        <f t="shared" si="156"/>
        <v>-6.6854389350012866E-3</v>
      </c>
      <c r="BT78" s="51">
        <f t="shared" ref="BT78:CY78" si="157">IF(BT36="","",IF(ISERROR(BT36/BS36-1),"",BT36/BS36-1))</f>
        <v>5.9677476400772367E-3</v>
      </c>
      <c r="BU78" s="51">
        <f t="shared" si="157"/>
        <v>7.4485675262754292E-3</v>
      </c>
      <c r="BV78" s="51">
        <f t="shared" si="157"/>
        <v>1.7711066136878673E-2</v>
      </c>
      <c r="BW78" s="51">
        <f t="shared" si="157"/>
        <v>2.0974564380964456E-3</v>
      </c>
      <c r="BX78" s="51">
        <f t="shared" si="157"/>
        <v>5.2186247821532916E-3</v>
      </c>
      <c r="BY78" s="51">
        <f t="shared" si="157"/>
        <v>3.4197370691331441E-2</v>
      </c>
      <c r="BZ78" s="51">
        <f t="shared" si="157"/>
        <v>2.8607663084258439E-2</v>
      </c>
      <c r="CA78" s="51">
        <f t="shared" si="157"/>
        <v>8.6724955774639678E-3</v>
      </c>
      <c r="CB78" s="51">
        <f t="shared" si="157"/>
        <v>1.1116411760558886E-3</v>
      </c>
      <c r="CC78" s="51">
        <f t="shared" si="157"/>
        <v>5.1544332730870668E-3</v>
      </c>
      <c r="CD78" s="51">
        <f t="shared" si="157"/>
        <v>-2.6343942646023244E-3</v>
      </c>
      <c r="CE78" s="51">
        <f t="shared" si="157"/>
        <v>2.6854731533883403E-2</v>
      </c>
      <c r="CF78" s="51">
        <f t="shared" si="157"/>
        <v>6.6909249497346668E-3</v>
      </c>
      <c r="CG78" s="51">
        <f t="shared" si="157"/>
        <v>6.7297711902394308E-3</v>
      </c>
      <c r="CH78" s="51">
        <f t="shared" si="157"/>
        <v>1.5165068404978443E-2</v>
      </c>
      <c r="CI78" s="51">
        <f t="shared" si="157"/>
        <v>1.1706193317084557E-2</v>
      </c>
      <c r="CJ78" s="51">
        <f t="shared" si="157"/>
        <v>-9.5491463491059747E-4</v>
      </c>
      <c r="CK78" s="51">
        <f t="shared" si="157"/>
        <v>1.1373252444366599E-3</v>
      </c>
      <c r="CL78" s="51">
        <f t="shared" si="157"/>
        <v>1.9779825883782021E-2</v>
      </c>
      <c r="CM78" s="51">
        <f t="shared" si="157"/>
        <v>-6.1787124029902829E-3</v>
      </c>
      <c r="CN78" s="51">
        <f t="shared" si="157"/>
        <v>8.1263918290521708E-3</v>
      </c>
      <c r="CO78" s="51">
        <f t="shared" si="157"/>
        <v>4.5924334393534494E-3</v>
      </c>
      <c r="CP78" s="51">
        <f t="shared" si="157"/>
        <v>-2.3602006425881283E-3</v>
      </c>
      <c r="CQ78" s="51">
        <f t="shared" si="157"/>
        <v>1.9102678741459878E-2</v>
      </c>
      <c r="CR78" s="51">
        <f t="shared" si="157"/>
        <v>1.9072615709975871E-2</v>
      </c>
      <c r="CS78" s="51">
        <f t="shared" si="157"/>
        <v>1.6467983460522806E-2</v>
      </c>
      <c r="CT78" s="51">
        <f t="shared" si="157"/>
        <v>2.0769956629125064E-2</v>
      </c>
      <c r="CU78" s="51">
        <f t="shared" si="157"/>
        <v>-3.5336592454667803E-3</v>
      </c>
      <c r="CV78" s="51">
        <f t="shared" si="157"/>
        <v>-6.4974318737526238E-3</v>
      </c>
      <c r="CW78" s="51">
        <f t="shared" si="157"/>
        <v>-1.8708481829863288E-2</v>
      </c>
      <c r="CX78" s="51">
        <f t="shared" si="157"/>
        <v>1.119652177018815E-2</v>
      </c>
      <c r="CY78" s="51">
        <f t="shared" si="157"/>
        <v>-1.4162639917601694E-2</v>
      </c>
      <c r="CZ78" s="51">
        <f t="shared" ref="CZ78:EE78" si="158">IF(CZ36="","",IF(ISERROR(CZ36/CY36-1),"",CZ36/CY36-1))</f>
        <v>-7.9530333863452318E-3</v>
      </c>
      <c r="DA78" s="51">
        <f t="shared" si="158"/>
        <v>-1.61165688498347E-2</v>
      </c>
      <c r="DB78" s="51">
        <f t="shared" si="158"/>
        <v>1.6141346187281469E-2</v>
      </c>
      <c r="DC78" s="51">
        <f t="shared" si="158"/>
        <v>-7.3572687238717682E-3</v>
      </c>
      <c r="DD78" s="51">
        <f t="shared" si="158"/>
        <v>1.4171165768451122E-2</v>
      </c>
      <c r="DE78" s="51">
        <f t="shared" si="158"/>
        <v>8.925038541011121E-3</v>
      </c>
      <c r="DF78" s="51">
        <f t="shared" si="158"/>
        <v>1.166456783200176E-2</v>
      </c>
      <c r="DG78" s="51">
        <f t="shared" si="158"/>
        <v>3.855209162143991E-3</v>
      </c>
      <c r="DH78" s="51">
        <f t="shared" si="158"/>
        <v>1.709065465796944E-2</v>
      </c>
      <c r="DI78" s="51">
        <f t="shared" si="158"/>
        <v>-5.7640389163772232E-3</v>
      </c>
      <c r="DJ78" s="51">
        <f t="shared" si="158"/>
        <v>2.6035119982617205E-2</v>
      </c>
      <c r="DK78" s="51">
        <f t="shared" si="158"/>
        <v>-4.2754327734395581E-3</v>
      </c>
      <c r="DL78" s="51">
        <f t="shared" si="158"/>
        <v>8.9938655706847115E-3</v>
      </c>
      <c r="DM78" s="51">
        <f t="shared" si="158"/>
        <v>8.675966488741027E-3</v>
      </c>
      <c r="DN78" s="51">
        <f t="shared" si="158"/>
        <v>1.7058124479496062E-2</v>
      </c>
      <c r="DO78" s="51">
        <f t="shared" si="158"/>
        <v>-1.4434711054220895E-3</v>
      </c>
      <c r="DP78" s="51" t="str">
        <f t="shared" si="158"/>
        <v/>
      </c>
      <c r="DQ78" s="51" t="str">
        <f t="shared" si="158"/>
        <v/>
      </c>
      <c r="DR78" s="51" t="str">
        <f t="shared" si="158"/>
        <v/>
      </c>
      <c r="DS78" s="51" t="str">
        <f t="shared" si="158"/>
        <v/>
      </c>
      <c r="DT78" s="51" t="str">
        <f t="shared" si="158"/>
        <v/>
      </c>
      <c r="DU78" s="51" t="str">
        <f t="shared" si="158"/>
        <v/>
      </c>
      <c r="DV78" s="51" t="str">
        <f t="shared" si="158"/>
        <v/>
      </c>
      <c r="DW78" s="51" t="str">
        <f t="shared" si="158"/>
        <v/>
      </c>
      <c r="DX78" s="51" t="str">
        <f t="shared" si="158"/>
        <v/>
      </c>
      <c r="DY78" s="51" t="str">
        <f t="shared" si="158"/>
        <v/>
      </c>
      <c r="DZ78" s="51" t="str">
        <f t="shared" si="158"/>
        <v/>
      </c>
      <c r="EA78" s="51" t="str">
        <f t="shared" si="158"/>
        <v/>
      </c>
      <c r="EB78" s="51" t="str">
        <f t="shared" si="158"/>
        <v/>
      </c>
      <c r="EC78" s="51" t="str">
        <f t="shared" si="158"/>
        <v/>
      </c>
      <c r="ED78" s="51" t="str">
        <f t="shared" si="158"/>
        <v/>
      </c>
      <c r="EE78" s="51" t="str">
        <f t="shared" si="158"/>
        <v/>
      </c>
      <c r="EF78" s="51" t="str">
        <f t="shared" ref="EF78:EL78" si="159">IF(EF36="","",IF(ISERROR(EF36/EE36-1),"",EF36/EE36-1))</f>
        <v/>
      </c>
      <c r="EG78" s="51" t="str">
        <f t="shared" si="159"/>
        <v/>
      </c>
      <c r="EH78" s="51" t="str">
        <f t="shared" si="159"/>
        <v/>
      </c>
      <c r="EI78" s="51" t="str">
        <f t="shared" si="159"/>
        <v/>
      </c>
      <c r="EJ78" s="51" t="str">
        <f t="shared" si="159"/>
        <v/>
      </c>
      <c r="EK78" s="51" t="str">
        <f t="shared" si="159"/>
        <v/>
      </c>
      <c r="EL78" s="51" t="str">
        <f t="shared" si="159"/>
        <v/>
      </c>
    </row>
    <row r="79" spans="2:142" x14ac:dyDescent="0.25">
      <c r="B79" s="34">
        <f t="shared" si="119"/>
        <v>29</v>
      </c>
      <c r="C79" s="35" t="str">
        <f t="shared" si="119"/>
        <v>MARGARINA</v>
      </c>
      <c r="D79" s="36">
        <f t="shared" si="119"/>
        <v>1.1858999999999999E-3</v>
      </c>
      <c r="E79" s="36">
        <f t="shared" si="119"/>
        <v>9.6222189766807849E-3</v>
      </c>
      <c r="G79" s="51"/>
      <c r="H79" s="51" t="str">
        <f t="shared" ref="H79:AM79" si="160">IF(H37="","",IF(ISERROR(H37/G37-1),"",H37/G37-1))</f>
        <v/>
      </c>
      <c r="I79" s="51" t="str">
        <f t="shared" si="160"/>
        <v/>
      </c>
      <c r="J79" s="51" t="str">
        <f t="shared" si="160"/>
        <v/>
      </c>
      <c r="K79" s="51" t="str">
        <f t="shared" si="160"/>
        <v/>
      </c>
      <c r="L79" s="51" t="str">
        <f t="shared" si="160"/>
        <v/>
      </c>
      <c r="M79" s="51" t="str">
        <f t="shared" si="160"/>
        <v/>
      </c>
      <c r="N79" s="51" t="str">
        <f t="shared" si="160"/>
        <v/>
      </c>
      <c r="O79" s="51" t="str">
        <f t="shared" si="160"/>
        <v/>
      </c>
      <c r="P79" s="51" t="str">
        <f t="shared" si="160"/>
        <v/>
      </c>
      <c r="Q79" s="51" t="str">
        <f t="shared" si="160"/>
        <v/>
      </c>
      <c r="R79" s="51" t="str">
        <f t="shared" si="160"/>
        <v/>
      </c>
      <c r="S79" s="51" t="str">
        <f t="shared" si="160"/>
        <v/>
      </c>
      <c r="T79" s="51" t="str">
        <f t="shared" si="160"/>
        <v/>
      </c>
      <c r="U79" s="51" t="str">
        <f t="shared" si="160"/>
        <v/>
      </c>
      <c r="V79" s="51" t="str">
        <f t="shared" si="160"/>
        <v/>
      </c>
      <c r="W79" s="51" t="str">
        <f t="shared" si="160"/>
        <v/>
      </c>
      <c r="X79" s="51" t="str">
        <f t="shared" si="160"/>
        <v/>
      </c>
      <c r="Y79" s="51" t="str">
        <f t="shared" si="160"/>
        <v/>
      </c>
      <c r="Z79" s="51" t="str">
        <f t="shared" si="160"/>
        <v/>
      </c>
      <c r="AA79" s="51" t="str">
        <f t="shared" si="160"/>
        <v/>
      </c>
      <c r="AB79" s="51" t="str">
        <f t="shared" si="160"/>
        <v/>
      </c>
      <c r="AC79" s="51" t="str">
        <f t="shared" si="160"/>
        <v/>
      </c>
      <c r="AD79" s="51" t="str">
        <f t="shared" si="160"/>
        <v/>
      </c>
      <c r="AE79" s="51" t="str">
        <f t="shared" si="160"/>
        <v/>
      </c>
      <c r="AF79" s="51" t="str">
        <f t="shared" si="160"/>
        <v/>
      </c>
      <c r="AG79" s="51" t="str">
        <f t="shared" si="160"/>
        <v/>
      </c>
      <c r="AH79" s="51" t="str">
        <f t="shared" si="160"/>
        <v/>
      </c>
      <c r="AI79" s="51" t="str">
        <f t="shared" si="160"/>
        <v/>
      </c>
      <c r="AJ79" s="51" t="str">
        <f t="shared" si="160"/>
        <v/>
      </c>
      <c r="AK79" s="51" t="str">
        <f t="shared" si="160"/>
        <v/>
      </c>
      <c r="AL79" s="51" t="str">
        <f t="shared" si="160"/>
        <v/>
      </c>
      <c r="AM79" s="51" t="str">
        <f t="shared" si="160"/>
        <v/>
      </c>
      <c r="AN79" s="51" t="str">
        <f t="shared" ref="AN79:BS79" si="161">IF(AN37="","",IF(ISERROR(AN37/AM37-1),"",AN37/AM37-1))</f>
        <v/>
      </c>
      <c r="AO79" s="51" t="str">
        <f t="shared" si="161"/>
        <v/>
      </c>
      <c r="AP79" s="51" t="str">
        <f t="shared" si="161"/>
        <v/>
      </c>
      <c r="AQ79" s="51" t="str">
        <f t="shared" si="161"/>
        <v/>
      </c>
      <c r="AR79" s="51" t="str">
        <f t="shared" si="161"/>
        <v/>
      </c>
      <c r="AS79" s="51" t="str">
        <f t="shared" si="161"/>
        <v/>
      </c>
      <c r="AT79" s="51" t="str">
        <f t="shared" si="161"/>
        <v/>
      </c>
      <c r="AU79" s="51" t="str">
        <f t="shared" si="161"/>
        <v/>
      </c>
      <c r="AV79" s="51" t="str">
        <f t="shared" si="161"/>
        <v/>
      </c>
      <c r="AW79" s="51" t="str">
        <f t="shared" si="161"/>
        <v/>
      </c>
      <c r="AX79" s="51" t="str">
        <f t="shared" si="161"/>
        <v/>
      </c>
      <c r="AY79" s="51" t="str">
        <f t="shared" si="161"/>
        <v/>
      </c>
      <c r="AZ79" s="51" t="str">
        <f t="shared" si="161"/>
        <v/>
      </c>
      <c r="BA79" s="51" t="str">
        <f t="shared" si="161"/>
        <v/>
      </c>
      <c r="BB79" s="51" t="str">
        <f t="shared" si="161"/>
        <v/>
      </c>
      <c r="BC79" s="51" t="str">
        <f t="shared" si="161"/>
        <v/>
      </c>
      <c r="BD79" s="51" t="str">
        <f t="shared" si="161"/>
        <v/>
      </c>
      <c r="BE79" s="51" t="str">
        <f t="shared" si="161"/>
        <v/>
      </c>
      <c r="BF79" s="51" t="str">
        <f t="shared" si="161"/>
        <v/>
      </c>
      <c r="BG79" s="51" t="str">
        <f t="shared" si="161"/>
        <v/>
      </c>
      <c r="BH79" s="51" t="str">
        <f t="shared" si="161"/>
        <v/>
      </c>
      <c r="BI79" s="51" t="str">
        <f t="shared" si="161"/>
        <v/>
      </c>
      <c r="BJ79" s="51" t="str">
        <f t="shared" si="161"/>
        <v/>
      </c>
      <c r="BK79" s="51" t="str">
        <f t="shared" si="161"/>
        <v/>
      </c>
      <c r="BL79" s="51" t="str">
        <f t="shared" si="161"/>
        <v/>
      </c>
      <c r="BM79" s="51" t="str">
        <f t="shared" si="161"/>
        <v/>
      </c>
      <c r="BN79" s="51" t="str">
        <f t="shared" si="161"/>
        <v/>
      </c>
      <c r="BO79" s="51" t="str">
        <f t="shared" si="161"/>
        <v/>
      </c>
      <c r="BP79" s="51">
        <f t="shared" si="161"/>
        <v>2.3996434428446678E-2</v>
      </c>
      <c r="BQ79" s="51">
        <f t="shared" si="161"/>
        <v>-2.2281818938617359E-2</v>
      </c>
      <c r="BR79" s="51">
        <f t="shared" si="161"/>
        <v>7.6591714114289111E-3</v>
      </c>
      <c r="BS79" s="51">
        <f t="shared" si="161"/>
        <v>-2.4039154833138676E-3</v>
      </c>
      <c r="BT79" s="51">
        <f t="shared" ref="BT79:CY79" si="162">IF(BT37="","",IF(ISERROR(BT37/BS37-1),"",BT37/BS37-1))</f>
        <v>7.160037116037854E-3</v>
      </c>
      <c r="BU79" s="51">
        <f t="shared" si="162"/>
        <v>-2.5297829681394379E-3</v>
      </c>
      <c r="BV79" s="51">
        <f t="shared" si="162"/>
        <v>8.5756771365355089E-3</v>
      </c>
      <c r="BW79" s="51">
        <f t="shared" si="162"/>
        <v>1.6082589036458206E-2</v>
      </c>
      <c r="BX79" s="51">
        <f t="shared" si="162"/>
        <v>-1.7344380753387845E-2</v>
      </c>
      <c r="BY79" s="51">
        <f t="shared" si="162"/>
        <v>-4.7289987714806969E-3</v>
      </c>
      <c r="BZ79" s="51">
        <f t="shared" si="162"/>
        <v>2.5432062330553951E-2</v>
      </c>
      <c r="CA79" s="51">
        <f t="shared" si="162"/>
        <v>-3.9001044191945278E-3</v>
      </c>
      <c r="CB79" s="51">
        <f t="shared" si="162"/>
        <v>-1.9217552179203512E-2</v>
      </c>
      <c r="CC79" s="51">
        <f t="shared" si="162"/>
        <v>9.9994887794621068E-3</v>
      </c>
      <c r="CD79" s="51">
        <f t="shared" si="162"/>
        <v>4.7452780550116813E-4</v>
      </c>
      <c r="CE79" s="51">
        <f t="shared" si="162"/>
        <v>1.8543321305996674E-2</v>
      </c>
      <c r="CF79" s="51">
        <f t="shared" si="162"/>
        <v>-3.0894936089984726E-2</v>
      </c>
      <c r="CG79" s="51">
        <f t="shared" si="162"/>
        <v>2.3876450801897597E-2</v>
      </c>
      <c r="CH79" s="51">
        <f t="shared" si="162"/>
        <v>-1.1886352630099406E-3</v>
      </c>
      <c r="CI79" s="51">
        <f t="shared" si="162"/>
        <v>-3.0977836409949999E-3</v>
      </c>
      <c r="CJ79" s="51">
        <f t="shared" si="162"/>
        <v>1.8696426033600666E-2</v>
      </c>
      <c r="CK79" s="51">
        <f t="shared" si="162"/>
        <v>-2.4558615463053268E-2</v>
      </c>
      <c r="CL79" s="51">
        <f t="shared" si="162"/>
        <v>4.0502912225810039E-2</v>
      </c>
      <c r="CM79" s="51">
        <f t="shared" si="162"/>
        <v>3.3286520550330767E-3</v>
      </c>
      <c r="CN79" s="51">
        <f t="shared" si="162"/>
        <v>1.3963086052091178E-3</v>
      </c>
      <c r="CO79" s="51">
        <f t="shared" si="162"/>
        <v>-5.1722405817641315E-3</v>
      </c>
      <c r="CP79" s="51">
        <f t="shared" si="162"/>
        <v>-7.1933303594751141E-3</v>
      </c>
      <c r="CQ79" s="51">
        <f t="shared" si="162"/>
        <v>8.9186843966211349E-3</v>
      </c>
      <c r="CR79" s="51">
        <f t="shared" si="162"/>
        <v>-8.0891498593783639E-3</v>
      </c>
      <c r="CS79" s="51">
        <f t="shared" si="162"/>
        <v>2.1927100601250249E-2</v>
      </c>
      <c r="CT79" s="51">
        <f t="shared" si="162"/>
        <v>-8.1665921206218739E-3</v>
      </c>
      <c r="CU79" s="51">
        <f t="shared" si="162"/>
        <v>7.6689692126239439E-3</v>
      </c>
      <c r="CV79" s="51">
        <f t="shared" si="162"/>
        <v>-2.0847190323254328E-3</v>
      </c>
      <c r="CW79" s="51">
        <f t="shared" si="162"/>
        <v>2.3420883124971592E-3</v>
      </c>
      <c r="CX79" s="51">
        <f t="shared" si="162"/>
        <v>1.0109757220445381E-2</v>
      </c>
      <c r="CY79" s="51">
        <f t="shared" si="162"/>
        <v>2.6727870617348826E-2</v>
      </c>
      <c r="CZ79" s="51">
        <f t="shared" ref="CZ79:EE79" si="163">IF(CZ37="","",IF(ISERROR(CZ37/CY37-1),"",CZ37/CY37-1))</f>
        <v>1.3009285952570115E-2</v>
      </c>
      <c r="DA79" s="51">
        <f t="shared" si="163"/>
        <v>3.406481225896707E-3</v>
      </c>
      <c r="DB79" s="51">
        <f t="shared" si="163"/>
        <v>-1.5451916295577961E-3</v>
      </c>
      <c r="DC79" s="51">
        <f t="shared" si="163"/>
        <v>-8.810713784261015E-3</v>
      </c>
      <c r="DD79" s="51">
        <f t="shared" si="163"/>
        <v>2.8201660115479754E-2</v>
      </c>
      <c r="DE79" s="51">
        <f t="shared" si="163"/>
        <v>1.001574556045437E-2</v>
      </c>
      <c r="DF79" s="51">
        <f t="shared" si="163"/>
        <v>-3.3599765143049742E-3</v>
      </c>
      <c r="DG79" s="51">
        <f t="shared" si="163"/>
        <v>8.2657073530101322E-4</v>
      </c>
      <c r="DH79" s="51">
        <f t="shared" si="163"/>
        <v>2.4332001938409675E-5</v>
      </c>
      <c r="DI79" s="51">
        <f t="shared" si="163"/>
        <v>1.0298011661298956E-2</v>
      </c>
      <c r="DJ79" s="51">
        <f t="shared" si="163"/>
        <v>-4.0793228747610155E-2</v>
      </c>
      <c r="DK79" s="51">
        <f t="shared" si="163"/>
        <v>2.7040528565050792E-2</v>
      </c>
      <c r="DL79" s="51">
        <f t="shared" si="163"/>
        <v>3.0814118005968227E-2</v>
      </c>
      <c r="DM79" s="51">
        <f t="shared" si="163"/>
        <v>-1.9414709925479445E-2</v>
      </c>
      <c r="DN79" s="51">
        <f t="shared" si="163"/>
        <v>-4.4061496734517647E-3</v>
      </c>
      <c r="DO79" s="51">
        <f t="shared" si="163"/>
        <v>-2.6738428974805606E-2</v>
      </c>
      <c r="DP79" s="51" t="str">
        <f t="shared" si="163"/>
        <v/>
      </c>
      <c r="DQ79" s="51" t="str">
        <f t="shared" si="163"/>
        <v/>
      </c>
      <c r="DR79" s="51" t="str">
        <f t="shared" si="163"/>
        <v/>
      </c>
      <c r="DS79" s="51" t="str">
        <f t="shared" si="163"/>
        <v/>
      </c>
      <c r="DT79" s="51" t="str">
        <f t="shared" si="163"/>
        <v/>
      </c>
      <c r="DU79" s="51" t="str">
        <f t="shared" si="163"/>
        <v/>
      </c>
      <c r="DV79" s="51" t="str">
        <f t="shared" si="163"/>
        <v/>
      </c>
      <c r="DW79" s="51" t="str">
        <f t="shared" si="163"/>
        <v/>
      </c>
      <c r="DX79" s="51" t="str">
        <f t="shared" si="163"/>
        <v/>
      </c>
      <c r="DY79" s="51" t="str">
        <f t="shared" si="163"/>
        <v/>
      </c>
      <c r="DZ79" s="51" t="str">
        <f t="shared" si="163"/>
        <v/>
      </c>
      <c r="EA79" s="51" t="str">
        <f t="shared" si="163"/>
        <v/>
      </c>
      <c r="EB79" s="51" t="str">
        <f t="shared" si="163"/>
        <v/>
      </c>
      <c r="EC79" s="51" t="str">
        <f t="shared" si="163"/>
        <v/>
      </c>
      <c r="ED79" s="51" t="str">
        <f t="shared" si="163"/>
        <v/>
      </c>
      <c r="EE79" s="51" t="str">
        <f t="shared" si="163"/>
        <v/>
      </c>
      <c r="EF79" s="51" t="str">
        <f t="shared" ref="EF79:EL79" si="164">IF(EF37="","",IF(ISERROR(EF37/EE37-1),"",EF37/EE37-1))</f>
        <v/>
      </c>
      <c r="EG79" s="51" t="str">
        <f t="shared" si="164"/>
        <v/>
      </c>
      <c r="EH79" s="51" t="str">
        <f t="shared" si="164"/>
        <v/>
      </c>
      <c r="EI79" s="51" t="str">
        <f t="shared" si="164"/>
        <v/>
      </c>
      <c r="EJ79" s="51" t="str">
        <f t="shared" si="164"/>
        <v/>
      </c>
      <c r="EK79" s="51" t="str">
        <f t="shared" si="164"/>
        <v/>
      </c>
      <c r="EL79" s="51" t="str">
        <f t="shared" si="164"/>
        <v/>
      </c>
    </row>
    <row r="80" spans="2:142" x14ac:dyDescent="0.25">
      <c r="B80" s="38">
        <f t="shared" si="119"/>
        <v>30</v>
      </c>
      <c r="C80" s="39" t="str">
        <f t="shared" si="119"/>
        <v>QUESO</v>
      </c>
      <c r="D80" s="40">
        <f t="shared" si="119"/>
        <v>7.4586000000000001E-3</v>
      </c>
      <c r="E80" s="40">
        <f t="shared" si="119"/>
        <v>6.051798841341708E-2</v>
      </c>
      <c r="G80" s="52"/>
      <c r="H80" s="52" t="str">
        <f t="shared" ref="H80:AM80" si="165">IF(H38="","",IF(ISERROR(H38/G38-1),"",H38/G38-1))</f>
        <v/>
      </c>
      <c r="I80" s="52" t="str">
        <f t="shared" si="165"/>
        <v/>
      </c>
      <c r="J80" s="52" t="str">
        <f t="shared" si="165"/>
        <v/>
      </c>
      <c r="K80" s="52" t="str">
        <f t="shared" si="165"/>
        <v/>
      </c>
      <c r="L80" s="52" t="str">
        <f t="shared" si="165"/>
        <v/>
      </c>
      <c r="M80" s="52" t="str">
        <f t="shared" si="165"/>
        <v/>
      </c>
      <c r="N80" s="52" t="str">
        <f t="shared" si="165"/>
        <v/>
      </c>
      <c r="O80" s="52" t="str">
        <f t="shared" si="165"/>
        <v/>
      </c>
      <c r="P80" s="52" t="str">
        <f t="shared" si="165"/>
        <v/>
      </c>
      <c r="Q80" s="52" t="str">
        <f t="shared" si="165"/>
        <v/>
      </c>
      <c r="R80" s="52" t="str">
        <f t="shared" si="165"/>
        <v/>
      </c>
      <c r="S80" s="52" t="str">
        <f t="shared" si="165"/>
        <v/>
      </c>
      <c r="T80" s="52" t="str">
        <f t="shared" si="165"/>
        <v/>
      </c>
      <c r="U80" s="52" t="str">
        <f t="shared" si="165"/>
        <v/>
      </c>
      <c r="V80" s="52" t="str">
        <f t="shared" si="165"/>
        <v/>
      </c>
      <c r="W80" s="52" t="str">
        <f t="shared" si="165"/>
        <v/>
      </c>
      <c r="X80" s="52" t="str">
        <f t="shared" si="165"/>
        <v/>
      </c>
      <c r="Y80" s="52" t="str">
        <f t="shared" si="165"/>
        <v/>
      </c>
      <c r="Z80" s="52" t="str">
        <f t="shared" si="165"/>
        <v/>
      </c>
      <c r="AA80" s="52" t="str">
        <f t="shared" si="165"/>
        <v/>
      </c>
      <c r="AB80" s="52" t="str">
        <f t="shared" si="165"/>
        <v/>
      </c>
      <c r="AC80" s="52" t="str">
        <f t="shared" si="165"/>
        <v/>
      </c>
      <c r="AD80" s="52" t="str">
        <f t="shared" si="165"/>
        <v/>
      </c>
      <c r="AE80" s="52">
        <f t="shared" si="165"/>
        <v>0</v>
      </c>
      <c r="AF80" s="52">
        <f t="shared" si="165"/>
        <v>1.1404681210543721E-2</v>
      </c>
      <c r="AG80" s="52">
        <f t="shared" si="165"/>
        <v>-1.5239313626280837E-2</v>
      </c>
      <c r="AH80" s="52">
        <f t="shared" si="165"/>
        <v>1.4575801074907302E-2</v>
      </c>
      <c r="AI80" s="52" t="str">
        <f t="shared" si="165"/>
        <v/>
      </c>
      <c r="AJ80" s="52" t="str">
        <f t="shared" si="165"/>
        <v/>
      </c>
      <c r="AK80" s="52">
        <f t="shared" si="165"/>
        <v>5.8734307325238211E-2</v>
      </c>
      <c r="AL80" s="52" t="str">
        <f t="shared" si="165"/>
        <v/>
      </c>
      <c r="AM80" s="52" t="str">
        <f t="shared" si="165"/>
        <v/>
      </c>
      <c r="AN80" s="52">
        <f t="shared" ref="AN80:BS80" si="166">IF(AN38="","",IF(ISERROR(AN38/AM38-1),"",AN38/AM38-1))</f>
        <v>-8.4936046317509728E-3</v>
      </c>
      <c r="AO80" s="52" t="str">
        <f t="shared" si="166"/>
        <v/>
      </c>
      <c r="AP80" s="52" t="str">
        <f t="shared" si="166"/>
        <v/>
      </c>
      <c r="AQ80" s="52">
        <f t="shared" si="166"/>
        <v>4.947476392884953E-3</v>
      </c>
      <c r="AR80" s="52" t="str">
        <f t="shared" si="166"/>
        <v/>
      </c>
      <c r="AS80" s="52" t="str">
        <f t="shared" si="166"/>
        <v/>
      </c>
      <c r="AT80" s="52">
        <f t="shared" si="166"/>
        <v>4.9510929056260755E-2</v>
      </c>
      <c r="AU80" s="52" t="str">
        <f t="shared" si="166"/>
        <v/>
      </c>
      <c r="AV80" s="52" t="str">
        <f t="shared" si="166"/>
        <v/>
      </c>
      <c r="AW80" s="52">
        <f t="shared" si="166"/>
        <v>4.8748288461997191E-3</v>
      </c>
      <c r="AX80" s="52">
        <f t="shared" si="166"/>
        <v>1.7448336099235906E-2</v>
      </c>
      <c r="AY80" s="52">
        <f t="shared" si="166"/>
        <v>-2.4501093819543907E-2</v>
      </c>
      <c r="AZ80" s="52" t="str">
        <f t="shared" si="166"/>
        <v/>
      </c>
      <c r="BA80" s="52" t="str">
        <f t="shared" si="166"/>
        <v/>
      </c>
      <c r="BB80" s="52">
        <f t="shared" si="166"/>
        <v>-1.9718000097870836E-2</v>
      </c>
      <c r="BC80" s="52" t="str">
        <f t="shared" si="166"/>
        <v/>
      </c>
      <c r="BD80" s="52" t="str">
        <f t="shared" si="166"/>
        <v/>
      </c>
      <c r="BE80" s="52">
        <f t="shared" si="166"/>
        <v>2.7131444495926971E-3</v>
      </c>
      <c r="BF80" s="52" t="str">
        <f t="shared" si="166"/>
        <v/>
      </c>
      <c r="BG80" s="52" t="str">
        <f t="shared" si="166"/>
        <v/>
      </c>
      <c r="BH80" s="52">
        <f t="shared" si="166"/>
        <v>-1.8606763613745469E-3</v>
      </c>
      <c r="BI80" s="52" t="str">
        <f t="shared" si="166"/>
        <v/>
      </c>
      <c r="BJ80" s="52" t="str">
        <f t="shared" si="166"/>
        <v/>
      </c>
      <c r="BK80" s="52">
        <f t="shared" si="166"/>
        <v>-1.640006893727064E-2</v>
      </c>
      <c r="BL80" s="52">
        <f t="shared" si="166"/>
        <v>-7.6746990169769269E-3</v>
      </c>
      <c r="BM80" s="52">
        <f t="shared" si="166"/>
        <v>5.4465712588422699E-2</v>
      </c>
      <c r="BN80" s="52">
        <f t="shared" si="166"/>
        <v>-2.1441413017331268E-4</v>
      </c>
      <c r="BO80" s="52">
        <f t="shared" si="166"/>
        <v>-7.0338995447728259E-2</v>
      </c>
      <c r="BP80" s="52">
        <f t="shared" si="166"/>
        <v>-6.397015334504319E-3</v>
      </c>
      <c r="BQ80" s="52">
        <f t="shared" si="166"/>
        <v>2.8116649630256285E-2</v>
      </c>
      <c r="BR80" s="52">
        <f t="shared" si="166"/>
        <v>-4.9785176031608147E-3</v>
      </c>
      <c r="BS80" s="52">
        <f t="shared" si="166"/>
        <v>3.0212507073808847E-2</v>
      </c>
      <c r="BT80" s="52">
        <f t="shared" ref="BT80:CY80" si="167">IF(BT38="","",IF(ISERROR(BT38/BS38-1),"",BT38/BS38-1))</f>
        <v>3.933473768286877E-2</v>
      </c>
      <c r="BU80" s="52">
        <f t="shared" si="167"/>
        <v>3.5993055588642076E-2</v>
      </c>
      <c r="BV80" s="52">
        <f t="shared" si="167"/>
        <v>1.1735806057827869E-2</v>
      </c>
      <c r="BW80" s="52">
        <f t="shared" si="167"/>
        <v>1.3998156464472666E-2</v>
      </c>
      <c r="BX80" s="52">
        <f t="shared" si="167"/>
        <v>1.5528042277891396E-2</v>
      </c>
      <c r="BY80" s="52">
        <f t="shared" si="167"/>
        <v>-2.576485080694968E-3</v>
      </c>
      <c r="BZ80" s="52">
        <f t="shared" si="167"/>
        <v>-7.7083218656497365E-3</v>
      </c>
      <c r="CA80" s="52">
        <f t="shared" si="167"/>
        <v>1.3656643035204752E-2</v>
      </c>
      <c r="CB80" s="52">
        <f t="shared" si="167"/>
        <v>3.9307591684366372E-2</v>
      </c>
      <c r="CC80" s="52">
        <f t="shared" si="167"/>
        <v>9.3544922412902576E-3</v>
      </c>
      <c r="CD80" s="52">
        <f t="shared" si="167"/>
        <v>1.67753610289334E-3</v>
      </c>
      <c r="CE80" s="52">
        <f t="shared" si="167"/>
        <v>-4.5946598381740866E-4</v>
      </c>
      <c r="CF80" s="52">
        <f t="shared" si="167"/>
        <v>-1.7559313599190274E-2</v>
      </c>
      <c r="CG80" s="52">
        <f t="shared" si="167"/>
        <v>1.440465047073558E-2</v>
      </c>
      <c r="CH80" s="52">
        <f t="shared" si="167"/>
        <v>8.9015319694030204E-4</v>
      </c>
      <c r="CI80" s="52">
        <f t="shared" si="167"/>
        <v>7.7046826575701832E-3</v>
      </c>
      <c r="CJ80" s="52">
        <f t="shared" si="167"/>
        <v>1.4284861734952026E-2</v>
      </c>
      <c r="CK80" s="52">
        <f t="shared" si="167"/>
        <v>-4.1583649046564863E-3</v>
      </c>
      <c r="CL80" s="52">
        <f t="shared" si="167"/>
        <v>-1.5577231813383219E-2</v>
      </c>
      <c r="CM80" s="52">
        <f t="shared" si="167"/>
        <v>-8.5082082586114272E-3</v>
      </c>
      <c r="CN80" s="52">
        <f t="shared" si="167"/>
        <v>2.0078671450280527E-2</v>
      </c>
      <c r="CO80" s="52">
        <f t="shared" si="167"/>
        <v>-3.887736487694915E-3</v>
      </c>
      <c r="CP80" s="52">
        <f t="shared" si="167"/>
        <v>9.5244967032275252E-3</v>
      </c>
      <c r="CQ80" s="52">
        <f t="shared" si="167"/>
        <v>-1.1565947748012007E-2</v>
      </c>
      <c r="CR80" s="52">
        <f t="shared" si="167"/>
        <v>2.5835168835260269E-2</v>
      </c>
      <c r="CS80" s="52">
        <f t="shared" si="167"/>
        <v>1.9192284594346409E-2</v>
      </c>
      <c r="CT80" s="52">
        <f t="shared" si="167"/>
        <v>-7.6575682865246408E-3</v>
      </c>
      <c r="CU80" s="52">
        <f t="shared" si="167"/>
        <v>-2.1719439203328639E-2</v>
      </c>
      <c r="CV80" s="52">
        <f t="shared" si="167"/>
        <v>1.1216681379135895E-3</v>
      </c>
      <c r="CW80" s="52">
        <f t="shared" si="167"/>
        <v>-3.1248035687125197E-2</v>
      </c>
      <c r="CX80" s="52">
        <f t="shared" si="167"/>
        <v>-7.0336094150273976E-3</v>
      </c>
      <c r="CY80" s="52">
        <f t="shared" si="167"/>
        <v>-7.2853004046627978E-3</v>
      </c>
      <c r="CZ80" s="52">
        <f t="shared" ref="CZ80:EE80" si="168">IF(CZ38="","",IF(ISERROR(CZ38/CY38-1),"",CZ38/CY38-1))</f>
        <v>9.3007933970683521E-3</v>
      </c>
      <c r="DA80" s="52">
        <f t="shared" si="168"/>
        <v>8.5404497306835747E-3</v>
      </c>
      <c r="DB80" s="52">
        <f t="shared" si="168"/>
        <v>5.8935400378052893E-3</v>
      </c>
      <c r="DC80" s="52">
        <f t="shared" si="168"/>
        <v>-9.6125863665814659E-3</v>
      </c>
      <c r="DD80" s="52">
        <f t="shared" si="168"/>
        <v>6.4448547838129588E-3</v>
      </c>
      <c r="DE80" s="52">
        <f t="shared" si="168"/>
        <v>3.8671816388502478E-5</v>
      </c>
      <c r="DF80" s="52">
        <f t="shared" si="168"/>
        <v>5.6323673857017198E-3</v>
      </c>
      <c r="DG80" s="52">
        <f t="shared" si="168"/>
        <v>1.5209098458073278E-3</v>
      </c>
      <c r="DH80" s="52">
        <f t="shared" si="168"/>
        <v>-7.072197367036237E-3</v>
      </c>
      <c r="DI80" s="52">
        <f t="shared" si="168"/>
        <v>7.1459636893622669E-3</v>
      </c>
      <c r="DJ80" s="52">
        <f t="shared" si="168"/>
        <v>-1.1899960613022786E-2</v>
      </c>
      <c r="DK80" s="52">
        <f t="shared" si="168"/>
        <v>-1.1475260761882211E-2</v>
      </c>
      <c r="DL80" s="52">
        <f t="shared" si="168"/>
        <v>6.1006413263047232E-3</v>
      </c>
      <c r="DM80" s="52">
        <f t="shared" si="168"/>
        <v>-1.3755997244907614E-2</v>
      </c>
      <c r="DN80" s="52">
        <f t="shared" si="168"/>
        <v>1.3472947634591392E-2</v>
      </c>
      <c r="DO80" s="52">
        <f t="shared" si="168"/>
        <v>-2.696219483956408E-2</v>
      </c>
      <c r="DP80" s="52" t="str">
        <f t="shared" si="168"/>
        <v/>
      </c>
      <c r="DQ80" s="52" t="str">
        <f t="shared" si="168"/>
        <v/>
      </c>
      <c r="DR80" s="52" t="str">
        <f t="shared" si="168"/>
        <v/>
      </c>
      <c r="DS80" s="52" t="str">
        <f t="shared" si="168"/>
        <v/>
      </c>
      <c r="DT80" s="52" t="str">
        <f t="shared" si="168"/>
        <v/>
      </c>
      <c r="DU80" s="52" t="str">
        <f t="shared" si="168"/>
        <v/>
      </c>
      <c r="DV80" s="52" t="str">
        <f t="shared" si="168"/>
        <v/>
      </c>
      <c r="DW80" s="52" t="str">
        <f t="shared" si="168"/>
        <v/>
      </c>
      <c r="DX80" s="52" t="str">
        <f t="shared" si="168"/>
        <v/>
      </c>
      <c r="DY80" s="52" t="str">
        <f t="shared" si="168"/>
        <v/>
      </c>
      <c r="DZ80" s="52" t="str">
        <f t="shared" si="168"/>
        <v/>
      </c>
      <c r="EA80" s="52" t="str">
        <f t="shared" si="168"/>
        <v/>
      </c>
      <c r="EB80" s="52" t="str">
        <f t="shared" si="168"/>
        <v/>
      </c>
      <c r="EC80" s="52" t="str">
        <f t="shared" si="168"/>
        <v/>
      </c>
      <c r="ED80" s="52" t="str">
        <f t="shared" si="168"/>
        <v/>
      </c>
      <c r="EE80" s="52" t="str">
        <f t="shared" si="168"/>
        <v/>
      </c>
      <c r="EF80" s="52" t="str">
        <f t="shared" ref="EF80:EL80" si="169">IF(EF38="","",IF(ISERROR(EF38/EE38-1),"",EF38/EE38-1))</f>
        <v/>
      </c>
      <c r="EG80" s="52" t="str">
        <f t="shared" si="169"/>
        <v/>
      </c>
      <c r="EH80" s="52" t="str">
        <f t="shared" si="169"/>
        <v/>
      </c>
      <c r="EI80" s="52" t="str">
        <f t="shared" si="169"/>
        <v/>
      </c>
      <c r="EJ80" s="52" t="str">
        <f t="shared" si="169"/>
        <v/>
      </c>
      <c r="EK80" s="52" t="str">
        <f t="shared" si="169"/>
        <v/>
      </c>
      <c r="EL80" s="52" t="str">
        <f t="shared" si="169"/>
        <v/>
      </c>
    </row>
    <row r="81" spans="2:144" x14ac:dyDescent="0.25">
      <c r="B81" s="22">
        <f t="shared" si="119"/>
        <v>31</v>
      </c>
      <c r="C81" s="42" t="str">
        <f t="shared" si="119"/>
        <v>YOGHURT</v>
      </c>
      <c r="D81" s="44">
        <f t="shared" si="119"/>
        <v>4.1983999999999997E-3</v>
      </c>
      <c r="E81" s="44">
        <f t="shared" si="119"/>
        <v>3.4065202927478382E-2</v>
      </c>
      <c r="G81" s="48"/>
      <c r="H81" s="48" t="str">
        <f t="shared" ref="H81:AM81" si="170">IF(H39="","",IF(ISERROR(H39/G39-1),"",H39/G39-1))</f>
        <v/>
      </c>
      <c r="I81" s="48" t="str">
        <f t="shared" si="170"/>
        <v/>
      </c>
      <c r="J81" s="48" t="str">
        <f t="shared" si="170"/>
        <v/>
      </c>
      <c r="K81" s="48" t="str">
        <f t="shared" si="170"/>
        <v/>
      </c>
      <c r="L81" s="48" t="str">
        <f t="shared" si="170"/>
        <v/>
      </c>
      <c r="M81" s="48" t="str">
        <f t="shared" si="170"/>
        <v/>
      </c>
      <c r="N81" s="48" t="str">
        <f t="shared" si="170"/>
        <v/>
      </c>
      <c r="O81" s="48" t="str">
        <f t="shared" si="170"/>
        <v/>
      </c>
      <c r="P81" s="48" t="str">
        <f t="shared" si="170"/>
        <v/>
      </c>
      <c r="Q81" s="48" t="str">
        <f t="shared" si="170"/>
        <v/>
      </c>
      <c r="R81" s="48" t="str">
        <f t="shared" si="170"/>
        <v/>
      </c>
      <c r="S81" s="48" t="str">
        <f t="shared" si="170"/>
        <v/>
      </c>
      <c r="T81" s="48" t="str">
        <f t="shared" si="170"/>
        <v/>
      </c>
      <c r="U81" s="48" t="str">
        <f t="shared" si="170"/>
        <v/>
      </c>
      <c r="V81" s="48" t="str">
        <f t="shared" si="170"/>
        <v/>
      </c>
      <c r="W81" s="48" t="str">
        <f t="shared" si="170"/>
        <v/>
      </c>
      <c r="X81" s="48" t="str">
        <f t="shared" si="170"/>
        <v/>
      </c>
      <c r="Y81" s="48" t="str">
        <f t="shared" si="170"/>
        <v/>
      </c>
      <c r="Z81" s="48" t="str">
        <f t="shared" si="170"/>
        <v/>
      </c>
      <c r="AA81" s="48" t="str">
        <f t="shared" si="170"/>
        <v/>
      </c>
      <c r="AB81" s="48" t="str">
        <f t="shared" si="170"/>
        <v/>
      </c>
      <c r="AC81" s="48" t="str">
        <f t="shared" si="170"/>
        <v/>
      </c>
      <c r="AD81" s="48" t="str">
        <f t="shared" si="170"/>
        <v/>
      </c>
      <c r="AE81" s="48" t="str">
        <f t="shared" si="170"/>
        <v/>
      </c>
      <c r="AF81" s="48" t="str">
        <f t="shared" si="170"/>
        <v/>
      </c>
      <c r="AG81" s="48" t="str">
        <f t="shared" si="170"/>
        <v/>
      </c>
      <c r="AH81" s="48" t="str">
        <f t="shared" si="170"/>
        <v/>
      </c>
      <c r="AI81" s="48" t="str">
        <f t="shared" si="170"/>
        <v/>
      </c>
      <c r="AJ81" s="48" t="str">
        <f t="shared" si="170"/>
        <v/>
      </c>
      <c r="AK81" s="48" t="str">
        <f t="shared" si="170"/>
        <v/>
      </c>
      <c r="AL81" s="48" t="str">
        <f t="shared" si="170"/>
        <v/>
      </c>
      <c r="AM81" s="48" t="str">
        <f t="shared" si="170"/>
        <v/>
      </c>
      <c r="AN81" s="48" t="str">
        <f t="shared" ref="AN81:BS81" si="171">IF(AN39="","",IF(ISERROR(AN39/AM39-1),"",AN39/AM39-1))</f>
        <v/>
      </c>
      <c r="AO81" s="48" t="str">
        <f t="shared" si="171"/>
        <v/>
      </c>
      <c r="AP81" s="48" t="str">
        <f t="shared" si="171"/>
        <v/>
      </c>
      <c r="AQ81" s="48" t="str">
        <f t="shared" si="171"/>
        <v/>
      </c>
      <c r="AR81" s="48" t="str">
        <f t="shared" si="171"/>
        <v/>
      </c>
      <c r="AS81" s="48" t="str">
        <f t="shared" si="171"/>
        <v/>
      </c>
      <c r="AT81" s="48" t="str">
        <f t="shared" si="171"/>
        <v/>
      </c>
      <c r="AU81" s="48" t="str">
        <f t="shared" si="171"/>
        <v/>
      </c>
      <c r="AV81" s="48" t="str">
        <f t="shared" si="171"/>
        <v/>
      </c>
      <c r="AW81" s="48" t="str">
        <f t="shared" si="171"/>
        <v/>
      </c>
      <c r="AX81" s="48" t="str">
        <f t="shared" si="171"/>
        <v/>
      </c>
      <c r="AY81" s="48" t="str">
        <f t="shared" si="171"/>
        <v/>
      </c>
      <c r="AZ81" s="48" t="str">
        <f t="shared" si="171"/>
        <v/>
      </c>
      <c r="BA81" s="48" t="str">
        <f t="shared" si="171"/>
        <v/>
      </c>
      <c r="BB81" s="48" t="str">
        <f t="shared" si="171"/>
        <v/>
      </c>
      <c r="BC81" s="48" t="str">
        <f t="shared" si="171"/>
        <v/>
      </c>
      <c r="BD81" s="48" t="str">
        <f t="shared" si="171"/>
        <v/>
      </c>
      <c r="BE81" s="48" t="str">
        <f t="shared" si="171"/>
        <v/>
      </c>
      <c r="BF81" s="48" t="str">
        <f t="shared" si="171"/>
        <v/>
      </c>
      <c r="BG81" s="48" t="str">
        <f t="shared" si="171"/>
        <v/>
      </c>
      <c r="BH81" s="48" t="str">
        <f t="shared" si="171"/>
        <v/>
      </c>
      <c r="BI81" s="48" t="str">
        <f t="shared" si="171"/>
        <v/>
      </c>
      <c r="BJ81" s="48" t="str">
        <f t="shared" si="171"/>
        <v/>
      </c>
      <c r="BK81" s="48" t="str">
        <f t="shared" si="171"/>
        <v/>
      </c>
      <c r="BL81" s="48" t="str">
        <f t="shared" si="171"/>
        <v/>
      </c>
      <c r="BM81" s="48" t="str">
        <f t="shared" si="171"/>
        <v/>
      </c>
      <c r="BN81" s="48" t="str">
        <f t="shared" si="171"/>
        <v/>
      </c>
      <c r="BO81" s="48" t="str">
        <f t="shared" si="171"/>
        <v/>
      </c>
      <c r="BP81" s="48">
        <f t="shared" si="171"/>
        <v>-9.927416070537376E-3</v>
      </c>
      <c r="BQ81" s="48">
        <f t="shared" si="171"/>
        <v>1.674664986385288E-2</v>
      </c>
      <c r="BR81" s="48">
        <f t="shared" si="171"/>
        <v>2.1675171457651521E-2</v>
      </c>
      <c r="BS81" s="48">
        <f t="shared" si="171"/>
        <v>6.1816315336380434E-3</v>
      </c>
      <c r="BT81" s="48">
        <f t="shared" ref="BT81:CY81" si="172">IF(BT39="","",IF(ISERROR(BT39/BS39-1),"",BT39/BS39-1))</f>
        <v>1.3824671339384142E-2</v>
      </c>
      <c r="BU81" s="48">
        <f t="shared" si="172"/>
        <v>-1.0055029312952102E-2</v>
      </c>
      <c r="BV81" s="48">
        <f t="shared" si="172"/>
        <v>9.1959138709818422E-3</v>
      </c>
      <c r="BW81" s="48">
        <f t="shared" si="172"/>
        <v>-3.4634009873462102E-3</v>
      </c>
      <c r="BX81" s="48">
        <f t="shared" si="172"/>
        <v>-6.0298430706745565E-3</v>
      </c>
      <c r="BY81" s="48">
        <f t="shared" si="172"/>
        <v>-8.4295285040333345E-3</v>
      </c>
      <c r="BZ81" s="48">
        <f t="shared" si="172"/>
        <v>2.679007135286704E-2</v>
      </c>
      <c r="CA81" s="48">
        <f t="shared" si="172"/>
        <v>-9.2440129928166304E-3</v>
      </c>
      <c r="CB81" s="48">
        <f t="shared" si="172"/>
        <v>-7.3156801769829194E-3</v>
      </c>
      <c r="CC81" s="48">
        <f t="shared" si="172"/>
        <v>2.1315244972188951E-2</v>
      </c>
      <c r="CD81" s="48">
        <f t="shared" si="172"/>
        <v>2.6617731739886352E-3</v>
      </c>
      <c r="CE81" s="48">
        <f t="shared" si="172"/>
        <v>2.4116592164220574E-3</v>
      </c>
      <c r="CF81" s="48">
        <f t="shared" si="172"/>
        <v>1.1886837240697945E-2</v>
      </c>
      <c r="CG81" s="48">
        <f t="shared" si="172"/>
        <v>1.6452467555783112E-2</v>
      </c>
      <c r="CH81" s="48">
        <f t="shared" si="172"/>
        <v>3.7612411623577646E-3</v>
      </c>
      <c r="CI81" s="48">
        <f t="shared" si="172"/>
        <v>1.3070613012341248E-2</v>
      </c>
      <c r="CJ81" s="48">
        <f t="shared" si="172"/>
        <v>-4.8769375582009555E-3</v>
      </c>
      <c r="CK81" s="48">
        <f t="shared" si="172"/>
        <v>-7.105737159703196E-3</v>
      </c>
      <c r="CL81" s="48">
        <f t="shared" si="172"/>
        <v>1.2752252894304039E-2</v>
      </c>
      <c r="CM81" s="48">
        <f t="shared" si="172"/>
        <v>-7.2318774656852103E-3</v>
      </c>
      <c r="CN81" s="48">
        <f t="shared" si="172"/>
        <v>1.0714311848017077E-2</v>
      </c>
      <c r="CO81" s="48">
        <f t="shared" si="172"/>
        <v>-2.0379204835534459E-3</v>
      </c>
      <c r="CP81" s="48">
        <f t="shared" si="172"/>
        <v>2.3912656010046218E-2</v>
      </c>
      <c r="CQ81" s="48">
        <f t="shared" si="172"/>
        <v>-7.5220304610412736E-4</v>
      </c>
      <c r="CR81" s="48">
        <f t="shared" si="172"/>
        <v>-3.2175178224991274E-4</v>
      </c>
      <c r="CS81" s="48">
        <f t="shared" si="172"/>
        <v>1.5032351274932632E-2</v>
      </c>
      <c r="CT81" s="48">
        <f t="shared" si="172"/>
        <v>-3.8144059421280074E-3</v>
      </c>
      <c r="CU81" s="48">
        <f t="shared" si="172"/>
        <v>9.734682171622655E-4</v>
      </c>
      <c r="CV81" s="48">
        <f t="shared" si="172"/>
        <v>-1.0571833752441862E-2</v>
      </c>
      <c r="CW81" s="48">
        <f t="shared" si="172"/>
        <v>1.0436829885390519E-2</v>
      </c>
      <c r="CX81" s="48">
        <f t="shared" si="172"/>
        <v>-3.0158606181908909E-2</v>
      </c>
      <c r="CY81" s="48">
        <f t="shared" si="172"/>
        <v>-2.282946945996156E-2</v>
      </c>
      <c r="CZ81" s="48">
        <f t="shared" ref="CZ81:EE81" si="173">IF(CZ39="","",IF(ISERROR(CZ39/CY39-1),"",CZ39/CY39-1))</f>
        <v>-1.1391414612507256E-2</v>
      </c>
      <c r="DA81" s="48">
        <f t="shared" si="173"/>
        <v>-4.5742765765954818E-3</v>
      </c>
      <c r="DB81" s="48">
        <f t="shared" si="173"/>
        <v>1.5171872507654838E-2</v>
      </c>
      <c r="DC81" s="48">
        <f t="shared" si="173"/>
        <v>1.6798896993330814E-3</v>
      </c>
      <c r="DD81" s="48">
        <f t="shared" si="173"/>
        <v>9.8600378984126102E-3</v>
      </c>
      <c r="DE81" s="48">
        <f t="shared" si="173"/>
        <v>5.3487484512015904E-3</v>
      </c>
      <c r="DF81" s="48">
        <f t="shared" si="173"/>
        <v>-1.5096248727831663E-3</v>
      </c>
      <c r="DG81" s="48">
        <f t="shared" si="173"/>
        <v>3.5815431864432146E-3</v>
      </c>
      <c r="DH81" s="48">
        <f t="shared" si="173"/>
        <v>-2.7176373305404233E-3</v>
      </c>
      <c r="DI81" s="48">
        <f t="shared" si="173"/>
        <v>1.7990435184256359E-2</v>
      </c>
      <c r="DJ81" s="48">
        <f t="shared" si="173"/>
        <v>-2.1531206413855308E-2</v>
      </c>
      <c r="DK81" s="48">
        <f t="shared" si="173"/>
        <v>4.8433502617974966E-3</v>
      </c>
      <c r="DL81" s="48">
        <f t="shared" si="173"/>
        <v>2.7152934918320826E-2</v>
      </c>
      <c r="DM81" s="48">
        <f t="shared" si="173"/>
        <v>-2.0293674634351833E-3</v>
      </c>
      <c r="DN81" s="48">
        <f t="shared" si="173"/>
        <v>-4.390593422105904E-3</v>
      </c>
      <c r="DO81" s="48">
        <f t="shared" si="173"/>
        <v>7.74942447278959E-3</v>
      </c>
      <c r="DP81" s="48" t="str">
        <f t="shared" si="173"/>
        <v/>
      </c>
      <c r="DQ81" s="48" t="str">
        <f t="shared" si="173"/>
        <v/>
      </c>
      <c r="DR81" s="48" t="str">
        <f t="shared" si="173"/>
        <v/>
      </c>
      <c r="DS81" s="48" t="str">
        <f t="shared" si="173"/>
        <v/>
      </c>
      <c r="DT81" s="48" t="str">
        <f t="shared" si="173"/>
        <v/>
      </c>
      <c r="DU81" s="48" t="str">
        <f t="shared" si="173"/>
        <v/>
      </c>
      <c r="DV81" s="48" t="str">
        <f t="shared" si="173"/>
        <v/>
      </c>
      <c r="DW81" s="48" t="str">
        <f t="shared" si="173"/>
        <v/>
      </c>
      <c r="DX81" s="48" t="str">
        <f t="shared" si="173"/>
        <v/>
      </c>
      <c r="DY81" s="48" t="str">
        <f t="shared" si="173"/>
        <v/>
      </c>
      <c r="DZ81" s="48" t="str">
        <f t="shared" si="173"/>
        <v/>
      </c>
      <c r="EA81" s="48" t="str">
        <f t="shared" si="173"/>
        <v/>
      </c>
      <c r="EB81" s="48" t="str">
        <f t="shared" si="173"/>
        <v/>
      </c>
      <c r="EC81" s="48" t="str">
        <f t="shared" si="173"/>
        <v/>
      </c>
      <c r="ED81" s="48" t="str">
        <f t="shared" si="173"/>
        <v/>
      </c>
      <c r="EE81" s="48" t="str">
        <f t="shared" si="173"/>
        <v/>
      </c>
      <c r="EF81" s="48" t="str">
        <f t="shared" ref="EF81:EL81" si="174">IF(EF39="","",IF(ISERROR(EF39/EE39-1),"",EF39/EE39-1))</f>
        <v/>
      </c>
      <c r="EG81" s="48" t="str">
        <f t="shared" si="174"/>
        <v/>
      </c>
      <c r="EH81" s="48" t="str">
        <f t="shared" si="174"/>
        <v/>
      </c>
      <c r="EI81" s="48" t="str">
        <f t="shared" si="174"/>
        <v/>
      </c>
      <c r="EJ81" s="48" t="str">
        <f t="shared" si="174"/>
        <v/>
      </c>
      <c r="EK81" s="48" t="str">
        <f t="shared" si="174"/>
        <v/>
      </c>
      <c r="EL81" s="48" t="str">
        <f t="shared" si="174"/>
        <v/>
      </c>
    </row>
    <row r="82" spans="2:144" x14ac:dyDescent="0.25">
      <c r="B82" s="22">
        <f t="shared" si="119"/>
        <v>32</v>
      </c>
      <c r="C82" s="16" t="str">
        <f t="shared" si="119"/>
        <v>LEGUMBRES</v>
      </c>
      <c r="D82" s="24">
        <f t="shared" si="119"/>
        <v>1.3135E-3</v>
      </c>
      <c r="E82" s="24">
        <f t="shared" si="119"/>
        <v>1.0657546695227433E-2</v>
      </c>
      <c r="G82" s="48"/>
      <c r="H82" s="48" t="str">
        <f t="shared" ref="H82:AM82" si="175">IF(H40="","",IF(ISERROR(H40/G40-1),"",H40/G40-1))</f>
        <v/>
      </c>
      <c r="I82" s="48" t="str">
        <f t="shared" si="175"/>
        <v/>
      </c>
      <c r="J82" s="48" t="str">
        <f t="shared" si="175"/>
        <v/>
      </c>
      <c r="K82" s="48" t="str">
        <f t="shared" si="175"/>
        <v/>
      </c>
      <c r="L82" s="48" t="str">
        <f t="shared" si="175"/>
        <v/>
      </c>
      <c r="M82" s="48" t="str">
        <f t="shared" si="175"/>
        <v/>
      </c>
      <c r="N82" s="48" t="str">
        <f t="shared" si="175"/>
        <v/>
      </c>
      <c r="O82" s="48" t="str">
        <f t="shared" si="175"/>
        <v/>
      </c>
      <c r="P82" s="48" t="str">
        <f t="shared" si="175"/>
        <v/>
      </c>
      <c r="Q82" s="48" t="str">
        <f t="shared" si="175"/>
        <v/>
      </c>
      <c r="R82" s="48" t="str">
        <f t="shared" si="175"/>
        <v/>
      </c>
      <c r="S82" s="48" t="str">
        <f t="shared" si="175"/>
        <v/>
      </c>
      <c r="T82" s="48" t="str">
        <f t="shared" si="175"/>
        <v/>
      </c>
      <c r="U82" s="48" t="str">
        <f t="shared" si="175"/>
        <v/>
      </c>
      <c r="V82" s="48" t="str">
        <f t="shared" si="175"/>
        <v/>
      </c>
      <c r="W82" s="48" t="str">
        <f t="shared" si="175"/>
        <v/>
      </c>
      <c r="X82" s="48" t="str">
        <f t="shared" si="175"/>
        <v/>
      </c>
      <c r="Y82" s="48" t="str">
        <f t="shared" si="175"/>
        <v/>
      </c>
      <c r="Z82" s="48" t="str">
        <f t="shared" si="175"/>
        <v/>
      </c>
      <c r="AA82" s="48" t="str">
        <f t="shared" si="175"/>
        <v/>
      </c>
      <c r="AB82" s="48" t="str">
        <f t="shared" si="175"/>
        <v/>
      </c>
      <c r="AC82" s="48" t="str">
        <f t="shared" si="175"/>
        <v/>
      </c>
      <c r="AD82" s="48" t="str">
        <f t="shared" si="175"/>
        <v/>
      </c>
      <c r="AE82" s="48" t="str">
        <f t="shared" si="175"/>
        <v/>
      </c>
      <c r="AF82" s="48" t="str">
        <f t="shared" si="175"/>
        <v/>
      </c>
      <c r="AG82" s="48" t="str">
        <f t="shared" si="175"/>
        <v/>
      </c>
      <c r="AH82" s="48" t="str">
        <f t="shared" si="175"/>
        <v/>
      </c>
      <c r="AI82" s="48" t="str">
        <f t="shared" si="175"/>
        <v/>
      </c>
      <c r="AJ82" s="48" t="str">
        <f t="shared" si="175"/>
        <v/>
      </c>
      <c r="AK82" s="48" t="str">
        <f t="shared" si="175"/>
        <v/>
      </c>
      <c r="AL82" s="48" t="str">
        <f t="shared" si="175"/>
        <v/>
      </c>
      <c r="AM82" s="48" t="str">
        <f t="shared" si="175"/>
        <v/>
      </c>
      <c r="AN82" s="48" t="str">
        <f t="shared" ref="AN82:BS82" si="176">IF(AN40="","",IF(ISERROR(AN40/AM40-1),"",AN40/AM40-1))</f>
        <v/>
      </c>
      <c r="AO82" s="48" t="str">
        <f t="shared" si="176"/>
        <v/>
      </c>
      <c r="AP82" s="48" t="str">
        <f t="shared" si="176"/>
        <v/>
      </c>
      <c r="AQ82" s="48" t="str">
        <f t="shared" si="176"/>
        <v/>
      </c>
      <c r="AR82" s="48" t="str">
        <f t="shared" si="176"/>
        <v/>
      </c>
      <c r="AS82" s="48" t="str">
        <f t="shared" si="176"/>
        <v/>
      </c>
      <c r="AT82" s="48" t="str">
        <f t="shared" si="176"/>
        <v/>
      </c>
      <c r="AU82" s="48" t="str">
        <f t="shared" si="176"/>
        <v/>
      </c>
      <c r="AV82" s="48" t="str">
        <f t="shared" si="176"/>
        <v/>
      </c>
      <c r="AW82" s="48" t="str">
        <f t="shared" si="176"/>
        <v/>
      </c>
      <c r="AX82" s="48" t="str">
        <f t="shared" si="176"/>
        <v/>
      </c>
      <c r="AY82" s="48" t="str">
        <f t="shared" si="176"/>
        <v/>
      </c>
      <c r="AZ82" s="48" t="str">
        <f t="shared" si="176"/>
        <v/>
      </c>
      <c r="BA82" s="48" t="str">
        <f t="shared" si="176"/>
        <v/>
      </c>
      <c r="BB82" s="48" t="str">
        <f t="shared" si="176"/>
        <v/>
      </c>
      <c r="BC82" s="48" t="str">
        <f t="shared" si="176"/>
        <v/>
      </c>
      <c r="BD82" s="48" t="str">
        <f t="shared" si="176"/>
        <v/>
      </c>
      <c r="BE82" s="48" t="str">
        <f t="shared" si="176"/>
        <v/>
      </c>
      <c r="BF82" s="48" t="str">
        <f t="shared" si="176"/>
        <v/>
      </c>
      <c r="BG82" s="48" t="str">
        <f t="shared" si="176"/>
        <v/>
      </c>
      <c r="BH82" s="48" t="str">
        <f t="shared" si="176"/>
        <v/>
      </c>
      <c r="BI82" s="48" t="str">
        <f t="shared" si="176"/>
        <v/>
      </c>
      <c r="BJ82" s="48" t="str">
        <f t="shared" si="176"/>
        <v/>
      </c>
      <c r="BK82" s="48" t="str">
        <f t="shared" si="176"/>
        <v/>
      </c>
      <c r="BL82" s="48" t="str">
        <f t="shared" si="176"/>
        <v/>
      </c>
      <c r="BM82" s="48" t="str">
        <f t="shared" si="176"/>
        <v/>
      </c>
      <c r="BN82" s="48" t="str">
        <f t="shared" si="176"/>
        <v/>
      </c>
      <c r="BO82" s="48" t="str">
        <f t="shared" si="176"/>
        <v/>
      </c>
      <c r="BP82" s="48">
        <f t="shared" si="176"/>
        <v>-1.8225834505636307E-2</v>
      </c>
      <c r="BQ82" s="48">
        <f t="shared" si="176"/>
        <v>2.8280651034972015E-2</v>
      </c>
      <c r="BR82" s="48">
        <f t="shared" si="176"/>
        <v>-3.7788860471776542E-2</v>
      </c>
      <c r="BS82" s="48">
        <f t="shared" si="176"/>
        <v>7.5589546920745931E-2</v>
      </c>
      <c r="BT82" s="48">
        <f t="shared" ref="BT82:CY82" si="177">IF(BT40="","",IF(ISERROR(BT40/BS40-1),"",BT40/BS40-1))</f>
        <v>2.5157523009989635E-2</v>
      </c>
      <c r="BU82" s="48">
        <f t="shared" si="177"/>
        <v>-3.0740741737725896E-3</v>
      </c>
      <c r="BV82" s="48">
        <f t="shared" si="177"/>
        <v>-7.1302597613702723E-3</v>
      </c>
      <c r="BW82" s="48">
        <f t="shared" si="177"/>
        <v>1.6766390105831253E-3</v>
      </c>
      <c r="BX82" s="48">
        <f t="shared" si="177"/>
        <v>7.1398004410636595E-3</v>
      </c>
      <c r="BY82" s="48">
        <f t="shared" si="177"/>
        <v>-2.4872960975574898E-4</v>
      </c>
      <c r="BZ82" s="48">
        <f t="shared" si="177"/>
        <v>4.5461485995950124E-3</v>
      </c>
      <c r="CA82" s="48">
        <f t="shared" si="177"/>
        <v>1.3084131402840704E-4</v>
      </c>
      <c r="CB82" s="48">
        <f t="shared" si="177"/>
        <v>-5.0599325213310786E-3</v>
      </c>
      <c r="CC82" s="48">
        <f t="shared" si="177"/>
        <v>9.5674295881267302E-3</v>
      </c>
      <c r="CD82" s="48">
        <f t="shared" si="177"/>
        <v>2.2556419357626645E-3</v>
      </c>
      <c r="CE82" s="48">
        <f t="shared" si="177"/>
        <v>-1.8916638383832396E-3</v>
      </c>
      <c r="CF82" s="48">
        <f t="shared" si="177"/>
        <v>-7.5035415889296297E-3</v>
      </c>
      <c r="CG82" s="48">
        <f t="shared" si="177"/>
        <v>1.1608147766585253E-2</v>
      </c>
      <c r="CH82" s="48">
        <f t="shared" si="177"/>
        <v>-3.0180365715383184E-3</v>
      </c>
      <c r="CI82" s="48">
        <f t="shared" si="177"/>
        <v>2.8980500847897162E-4</v>
      </c>
      <c r="CJ82" s="48">
        <f t="shared" si="177"/>
        <v>-7.0527769314984168E-3</v>
      </c>
      <c r="CK82" s="48">
        <f t="shared" si="177"/>
        <v>5.9133682835004198E-3</v>
      </c>
      <c r="CL82" s="48">
        <f t="shared" si="177"/>
        <v>4.1736932873970289E-3</v>
      </c>
      <c r="CM82" s="48">
        <f t="shared" si="177"/>
        <v>-2.0230354022321428E-4</v>
      </c>
      <c r="CN82" s="48">
        <f t="shared" si="177"/>
        <v>9.7107536905896019E-3</v>
      </c>
      <c r="CO82" s="48">
        <f t="shared" si="177"/>
        <v>-4.3918831337489417E-3</v>
      </c>
      <c r="CP82" s="48">
        <f t="shared" si="177"/>
        <v>-2.1454284201610663E-2</v>
      </c>
      <c r="CQ82" s="48">
        <f t="shared" si="177"/>
        <v>2.8554959848088313E-2</v>
      </c>
      <c r="CR82" s="48">
        <f t="shared" si="177"/>
        <v>5.9611362654683475E-3</v>
      </c>
      <c r="CS82" s="48">
        <f t="shared" si="177"/>
        <v>2.8403756280155346E-3</v>
      </c>
      <c r="CT82" s="48">
        <f t="shared" si="177"/>
        <v>-1.1116646522979723E-2</v>
      </c>
      <c r="CU82" s="48">
        <f t="shared" si="177"/>
        <v>-1.517036335865074E-2</v>
      </c>
      <c r="CV82" s="48">
        <f t="shared" si="177"/>
        <v>4.1376135685831095E-3</v>
      </c>
      <c r="CW82" s="48">
        <f t="shared" si="177"/>
        <v>-1.2472525263354073E-2</v>
      </c>
      <c r="CX82" s="48">
        <f t="shared" si="177"/>
        <v>-3.9806509660660461E-2</v>
      </c>
      <c r="CY82" s="48">
        <f t="shared" si="177"/>
        <v>-2.2354253014103542E-2</v>
      </c>
      <c r="CZ82" s="48">
        <f t="shared" ref="CZ82:EE82" si="178">IF(CZ40="","",IF(ISERROR(CZ40/CY40-1),"",CZ40/CY40-1))</f>
        <v>-4.3060984447479411E-3</v>
      </c>
      <c r="DA82" s="48">
        <f t="shared" si="178"/>
        <v>1.1050432580171021E-2</v>
      </c>
      <c r="DB82" s="48">
        <f t="shared" si="178"/>
        <v>6.7109552064072986E-3</v>
      </c>
      <c r="DC82" s="48">
        <f t="shared" si="178"/>
        <v>4.5965383749946298E-4</v>
      </c>
      <c r="DD82" s="48">
        <f t="shared" si="178"/>
        <v>5.7112347715080336E-3</v>
      </c>
      <c r="DE82" s="48">
        <f t="shared" si="178"/>
        <v>8.1238293618566271E-3</v>
      </c>
      <c r="DF82" s="48">
        <f t="shared" si="178"/>
        <v>-5.4354458190051247E-3</v>
      </c>
      <c r="DG82" s="48">
        <f t="shared" si="178"/>
        <v>1.5941178567781433E-2</v>
      </c>
      <c r="DH82" s="48">
        <f t="shared" si="178"/>
        <v>1.6152154720438405E-2</v>
      </c>
      <c r="DI82" s="48">
        <f t="shared" si="178"/>
        <v>-8.2884863643819529E-3</v>
      </c>
      <c r="DJ82" s="48">
        <f t="shared" si="178"/>
        <v>5.5613063669306406E-3</v>
      </c>
      <c r="DK82" s="48">
        <f t="shared" si="178"/>
        <v>6.4831335249082578E-4</v>
      </c>
      <c r="DL82" s="48">
        <f t="shared" si="178"/>
        <v>9.1880613281010159E-3</v>
      </c>
      <c r="DM82" s="48">
        <f t="shared" si="178"/>
        <v>2.568432806822285E-3</v>
      </c>
      <c r="DN82" s="48">
        <f t="shared" si="178"/>
        <v>5.0620793971076772E-3</v>
      </c>
      <c r="DO82" s="48">
        <f t="shared" si="178"/>
        <v>-8.2512428305263619E-3</v>
      </c>
      <c r="DP82" s="48" t="str">
        <f t="shared" si="178"/>
        <v/>
      </c>
      <c r="DQ82" s="48" t="str">
        <f t="shared" si="178"/>
        <v/>
      </c>
      <c r="DR82" s="48" t="str">
        <f t="shared" si="178"/>
        <v/>
      </c>
      <c r="DS82" s="48" t="str">
        <f t="shared" si="178"/>
        <v/>
      </c>
      <c r="DT82" s="48" t="str">
        <f t="shared" si="178"/>
        <v/>
      </c>
      <c r="DU82" s="48" t="str">
        <f t="shared" si="178"/>
        <v/>
      </c>
      <c r="DV82" s="48" t="str">
        <f t="shared" si="178"/>
        <v/>
      </c>
      <c r="DW82" s="48" t="str">
        <f t="shared" si="178"/>
        <v/>
      </c>
      <c r="DX82" s="48" t="str">
        <f t="shared" si="178"/>
        <v/>
      </c>
      <c r="DY82" s="48" t="str">
        <f t="shared" si="178"/>
        <v/>
      </c>
      <c r="DZ82" s="48" t="str">
        <f t="shared" si="178"/>
        <v/>
      </c>
      <c r="EA82" s="48" t="str">
        <f t="shared" si="178"/>
        <v/>
      </c>
      <c r="EB82" s="48" t="str">
        <f t="shared" si="178"/>
        <v/>
      </c>
      <c r="EC82" s="48" t="str">
        <f t="shared" si="178"/>
        <v/>
      </c>
      <c r="ED82" s="48" t="str">
        <f t="shared" si="178"/>
        <v/>
      </c>
      <c r="EE82" s="48" t="str">
        <f t="shared" si="178"/>
        <v/>
      </c>
      <c r="EF82" s="48" t="str">
        <f t="shared" ref="EF82:EL82" si="179">IF(EF40="","",IF(ISERROR(EF40/EE40-1),"",EF40/EE40-1))</f>
        <v/>
      </c>
      <c r="EG82" s="48" t="str">
        <f t="shared" si="179"/>
        <v/>
      </c>
      <c r="EH82" s="48" t="str">
        <f t="shared" si="179"/>
        <v/>
      </c>
      <c r="EI82" s="48" t="str">
        <f t="shared" si="179"/>
        <v/>
      </c>
      <c r="EJ82" s="48" t="str">
        <f t="shared" si="179"/>
        <v/>
      </c>
      <c r="EK82" s="48" t="str">
        <f t="shared" si="179"/>
        <v/>
      </c>
      <c r="EL82" s="48" t="str">
        <f t="shared" si="179"/>
        <v/>
      </c>
    </row>
    <row r="83" spans="2:144" x14ac:dyDescent="0.25">
      <c r="B83" s="22">
        <f t="shared" si="119"/>
        <v>33</v>
      </c>
      <c r="C83" s="23" t="str">
        <f t="shared" si="119"/>
        <v>PAN</v>
      </c>
      <c r="D83" s="24">
        <f t="shared" si="119"/>
        <v>2.09319E-2</v>
      </c>
      <c r="E83" s="24">
        <f t="shared" si="119"/>
        <v>0.169838372036415</v>
      </c>
      <c r="G83" s="48"/>
      <c r="H83" s="48" t="str">
        <f t="shared" ref="H83:AM83" si="180">IF(H41="","",IF(ISERROR(H41/G41-1),"",H41/G41-1))</f>
        <v/>
      </c>
      <c r="I83" s="48" t="str">
        <f t="shared" si="180"/>
        <v/>
      </c>
      <c r="J83" s="48" t="str">
        <f t="shared" si="180"/>
        <v/>
      </c>
      <c r="K83" s="48" t="str">
        <f t="shared" si="180"/>
        <v/>
      </c>
      <c r="L83" s="48" t="str">
        <f t="shared" si="180"/>
        <v/>
      </c>
      <c r="M83" s="48" t="str">
        <f t="shared" si="180"/>
        <v/>
      </c>
      <c r="N83" s="48" t="str">
        <f t="shared" si="180"/>
        <v/>
      </c>
      <c r="O83" s="48" t="str">
        <f t="shared" si="180"/>
        <v/>
      </c>
      <c r="P83" s="48" t="str">
        <f t="shared" si="180"/>
        <v/>
      </c>
      <c r="Q83" s="48" t="str">
        <f t="shared" si="180"/>
        <v/>
      </c>
      <c r="R83" s="48" t="str">
        <f t="shared" si="180"/>
        <v/>
      </c>
      <c r="S83" s="48" t="str">
        <f t="shared" si="180"/>
        <v/>
      </c>
      <c r="T83" s="48" t="str">
        <f t="shared" si="180"/>
        <v/>
      </c>
      <c r="U83" s="48" t="str">
        <f t="shared" si="180"/>
        <v/>
      </c>
      <c r="V83" s="48" t="str">
        <f t="shared" si="180"/>
        <v/>
      </c>
      <c r="W83" s="48" t="str">
        <f t="shared" si="180"/>
        <v/>
      </c>
      <c r="X83" s="48" t="str">
        <f t="shared" si="180"/>
        <v/>
      </c>
      <c r="Y83" s="48" t="str">
        <f t="shared" si="180"/>
        <v/>
      </c>
      <c r="Z83" s="48" t="str">
        <f t="shared" si="180"/>
        <v/>
      </c>
      <c r="AA83" s="48" t="str">
        <f t="shared" si="180"/>
        <v/>
      </c>
      <c r="AB83" s="48">
        <f t="shared" si="180"/>
        <v>-1.2354339747816301E-2</v>
      </c>
      <c r="AC83" s="48" t="str">
        <f t="shared" si="180"/>
        <v/>
      </c>
      <c r="AD83" s="48" t="str">
        <f t="shared" si="180"/>
        <v/>
      </c>
      <c r="AE83" s="48">
        <f t="shared" si="180"/>
        <v>-6.2660418156982312E-3</v>
      </c>
      <c r="AF83" s="48">
        <f t="shared" si="180"/>
        <v>6.7222266998523406E-2</v>
      </c>
      <c r="AG83" s="48">
        <f t="shared" si="180"/>
        <v>-1.161774800719495E-2</v>
      </c>
      <c r="AH83" s="48">
        <f t="shared" si="180"/>
        <v>-6.3005992511232511E-3</v>
      </c>
      <c r="AI83" s="48" t="str">
        <f t="shared" si="180"/>
        <v/>
      </c>
      <c r="AJ83" s="48" t="str">
        <f t="shared" si="180"/>
        <v/>
      </c>
      <c r="AK83" s="48">
        <f t="shared" si="180"/>
        <v>2.1231922817290805E-3</v>
      </c>
      <c r="AL83" s="48" t="str">
        <f t="shared" si="180"/>
        <v/>
      </c>
      <c r="AM83" s="48" t="str">
        <f t="shared" si="180"/>
        <v/>
      </c>
      <c r="AN83" s="48">
        <f t="shared" ref="AN83:BS83" si="181">IF(AN41="","",IF(ISERROR(AN41/AM41-1),"",AN41/AM41-1))</f>
        <v>-2.180179386187453E-2</v>
      </c>
      <c r="AO83" s="48" t="str">
        <f t="shared" si="181"/>
        <v/>
      </c>
      <c r="AP83" s="48" t="str">
        <f t="shared" si="181"/>
        <v/>
      </c>
      <c r="AQ83" s="48">
        <f t="shared" si="181"/>
        <v>-2.2111361447130218E-3</v>
      </c>
      <c r="AR83" s="48" t="str">
        <f t="shared" si="181"/>
        <v/>
      </c>
      <c r="AS83" s="48" t="str">
        <f t="shared" si="181"/>
        <v/>
      </c>
      <c r="AT83" s="48">
        <f t="shared" si="181"/>
        <v>9.7317764866773349E-3</v>
      </c>
      <c r="AU83" s="48" t="str">
        <f t="shared" si="181"/>
        <v/>
      </c>
      <c r="AV83" s="48" t="str">
        <f t="shared" si="181"/>
        <v/>
      </c>
      <c r="AW83" s="48">
        <f t="shared" si="181"/>
        <v>4.4532402219374712E-2</v>
      </c>
      <c r="AX83" s="48">
        <f t="shared" si="181"/>
        <v>9.092502572531691E-3</v>
      </c>
      <c r="AY83" s="48">
        <f t="shared" si="181"/>
        <v>9.563953674617709E-3</v>
      </c>
      <c r="AZ83" s="48" t="str">
        <f t="shared" si="181"/>
        <v/>
      </c>
      <c r="BA83" s="48" t="str">
        <f t="shared" si="181"/>
        <v/>
      </c>
      <c r="BB83" s="48">
        <f t="shared" si="181"/>
        <v>1.4031426731798025E-2</v>
      </c>
      <c r="BC83" s="48" t="str">
        <f t="shared" si="181"/>
        <v/>
      </c>
      <c r="BD83" s="48" t="str">
        <f t="shared" si="181"/>
        <v/>
      </c>
      <c r="BE83" s="48">
        <f t="shared" si="181"/>
        <v>-4.932861698544011E-3</v>
      </c>
      <c r="BF83" s="48" t="str">
        <f t="shared" si="181"/>
        <v/>
      </c>
      <c r="BG83" s="48" t="str">
        <f t="shared" si="181"/>
        <v/>
      </c>
      <c r="BH83" s="48">
        <f t="shared" si="181"/>
        <v>9.5939100623547713E-3</v>
      </c>
      <c r="BI83" s="48" t="str">
        <f t="shared" si="181"/>
        <v/>
      </c>
      <c r="BJ83" s="48" t="str">
        <f t="shared" si="181"/>
        <v/>
      </c>
      <c r="BK83" s="48">
        <f t="shared" si="181"/>
        <v>9.9503666623395048E-3</v>
      </c>
      <c r="BL83" s="48">
        <f t="shared" si="181"/>
        <v>-1.7487285630784832E-2</v>
      </c>
      <c r="BM83" s="48">
        <f t="shared" si="181"/>
        <v>1.0271775530269478E-2</v>
      </c>
      <c r="BN83" s="48">
        <f t="shared" si="181"/>
        <v>1.4144945977349943E-2</v>
      </c>
      <c r="BO83" s="48">
        <f t="shared" si="181"/>
        <v>2.1606438160670871E-2</v>
      </c>
      <c r="BP83" s="48">
        <f t="shared" si="181"/>
        <v>-1.680688935213559E-3</v>
      </c>
      <c r="BQ83" s="48">
        <f t="shared" si="181"/>
        <v>1.0563639493404331E-2</v>
      </c>
      <c r="BR83" s="48">
        <f t="shared" si="181"/>
        <v>1.0594420501115476E-3</v>
      </c>
      <c r="BS83" s="48">
        <f t="shared" si="181"/>
        <v>1.1599075043549956E-2</v>
      </c>
      <c r="BT83" s="48">
        <f t="shared" ref="BT83:CY83" si="182">IF(BT41="","",IF(ISERROR(BT41/BS41-1),"",BT41/BS41-1))</f>
        <v>9.0797650020069121E-3</v>
      </c>
      <c r="BU83" s="48">
        <f t="shared" si="182"/>
        <v>-3.0933564590313822E-2</v>
      </c>
      <c r="BV83" s="48">
        <f t="shared" si="182"/>
        <v>-4.0096716468812632E-3</v>
      </c>
      <c r="BW83" s="48">
        <f t="shared" si="182"/>
        <v>2.2338937241324075E-3</v>
      </c>
      <c r="BX83" s="48">
        <f t="shared" si="182"/>
        <v>8.573734706690761E-3</v>
      </c>
      <c r="BY83" s="48">
        <f t="shared" si="182"/>
        <v>-6.9750065613642942E-3</v>
      </c>
      <c r="BZ83" s="48">
        <f t="shared" si="182"/>
        <v>1.675149800280229E-2</v>
      </c>
      <c r="CA83" s="48">
        <f t="shared" si="182"/>
        <v>-6.708884562208639E-3</v>
      </c>
      <c r="CB83" s="48">
        <f t="shared" si="182"/>
        <v>-6.7184317287677375E-3</v>
      </c>
      <c r="CC83" s="48">
        <f t="shared" si="182"/>
        <v>2.0583544349084271E-4</v>
      </c>
      <c r="CD83" s="48">
        <f t="shared" si="182"/>
        <v>1.4822151409909834E-2</v>
      </c>
      <c r="CE83" s="48">
        <f t="shared" si="182"/>
        <v>2.0965569622463764E-2</v>
      </c>
      <c r="CF83" s="48">
        <f t="shared" si="182"/>
        <v>2.5402887694547793E-2</v>
      </c>
      <c r="CG83" s="48">
        <f t="shared" si="182"/>
        <v>2.002041161601964E-3</v>
      </c>
      <c r="CH83" s="48">
        <f t="shared" si="182"/>
        <v>2.2485468514559237E-3</v>
      </c>
      <c r="CI83" s="48">
        <f t="shared" si="182"/>
        <v>1.3400307233569109E-2</v>
      </c>
      <c r="CJ83" s="48">
        <f t="shared" si="182"/>
        <v>1.7442828797653576E-4</v>
      </c>
      <c r="CK83" s="48">
        <f t="shared" si="182"/>
        <v>4.5931677277515348E-3</v>
      </c>
      <c r="CL83" s="48">
        <f t="shared" si="182"/>
        <v>-6.7788019815819833E-3</v>
      </c>
      <c r="CM83" s="48">
        <f t="shared" si="182"/>
        <v>1.0063366681187125E-2</v>
      </c>
      <c r="CN83" s="48">
        <f t="shared" si="182"/>
        <v>2.9737194104437759E-3</v>
      </c>
      <c r="CO83" s="48">
        <f t="shared" si="182"/>
        <v>2.8716588898292095E-4</v>
      </c>
      <c r="CP83" s="48">
        <f t="shared" si="182"/>
        <v>1.8779850111230179E-3</v>
      </c>
      <c r="CQ83" s="48">
        <f t="shared" si="182"/>
        <v>3.4746186509293508E-3</v>
      </c>
      <c r="CR83" s="48">
        <f t="shared" si="182"/>
        <v>3.7163963284676527E-3</v>
      </c>
      <c r="CS83" s="48">
        <f t="shared" si="182"/>
        <v>4.15190340086391E-3</v>
      </c>
      <c r="CT83" s="48">
        <f t="shared" si="182"/>
        <v>-3.0644958120107368E-4</v>
      </c>
      <c r="CU83" s="48">
        <f t="shared" si="182"/>
        <v>1.0428269504436649E-4</v>
      </c>
      <c r="CV83" s="48">
        <f t="shared" si="182"/>
        <v>5.584165923156581E-3</v>
      </c>
      <c r="CW83" s="48">
        <f t="shared" si="182"/>
        <v>9.3552854683989217E-3</v>
      </c>
      <c r="CX83" s="48">
        <f t="shared" si="182"/>
        <v>2.4508515118908392E-3</v>
      </c>
      <c r="CY83" s="48">
        <f t="shared" si="182"/>
        <v>-1.2920055871793235E-2</v>
      </c>
      <c r="CZ83" s="48">
        <f t="shared" ref="CZ83:EE83" si="183">IF(CZ41="","",IF(ISERROR(CZ41/CY41-1),"",CZ41/CY41-1))</f>
        <v>8.8630062226713324E-3</v>
      </c>
      <c r="DA83" s="48">
        <f t="shared" si="183"/>
        <v>-1.6938719666720337E-3</v>
      </c>
      <c r="DB83" s="48">
        <f t="shared" si="183"/>
        <v>2.2204817896378515E-3</v>
      </c>
      <c r="DC83" s="48">
        <f t="shared" si="183"/>
        <v>-9.294146069607212E-4</v>
      </c>
      <c r="DD83" s="48">
        <f t="shared" si="183"/>
        <v>3.0810779826879742E-3</v>
      </c>
      <c r="DE83" s="48">
        <f t="shared" si="183"/>
        <v>6.7479486396277988E-3</v>
      </c>
      <c r="DF83" s="48">
        <f t="shared" si="183"/>
        <v>-4.8037055462513134E-3</v>
      </c>
      <c r="DG83" s="48">
        <f t="shared" si="183"/>
        <v>5.5244832752181505E-3</v>
      </c>
      <c r="DH83" s="48">
        <f t="shared" si="183"/>
        <v>6.1707304185887324E-4</v>
      </c>
      <c r="DI83" s="48">
        <f t="shared" si="183"/>
        <v>4.6536174233355876E-3</v>
      </c>
      <c r="DJ83" s="48">
        <f t="shared" si="183"/>
        <v>1.4240607559929952E-3</v>
      </c>
      <c r="DK83" s="48">
        <f t="shared" si="183"/>
        <v>-2.8304500975168123E-3</v>
      </c>
      <c r="DL83" s="48">
        <f t="shared" si="183"/>
        <v>6.2513394635721475E-3</v>
      </c>
      <c r="DM83" s="48">
        <f t="shared" si="183"/>
        <v>-7.3997616244358966E-4</v>
      </c>
      <c r="DN83" s="48">
        <f t="shared" si="183"/>
        <v>4.9823951116021448E-3</v>
      </c>
      <c r="DO83" s="48">
        <f t="shared" si="183"/>
        <v>-4.6196836619818438E-3</v>
      </c>
      <c r="DP83" s="48" t="str">
        <f t="shared" si="183"/>
        <v/>
      </c>
      <c r="DQ83" s="48" t="str">
        <f t="shared" si="183"/>
        <v/>
      </c>
      <c r="DR83" s="48" t="str">
        <f t="shared" si="183"/>
        <v/>
      </c>
      <c r="DS83" s="48" t="str">
        <f t="shared" si="183"/>
        <v/>
      </c>
      <c r="DT83" s="48" t="str">
        <f t="shared" si="183"/>
        <v/>
      </c>
      <c r="DU83" s="48" t="str">
        <f t="shared" si="183"/>
        <v/>
      </c>
      <c r="DV83" s="48" t="str">
        <f t="shared" si="183"/>
        <v/>
      </c>
      <c r="DW83" s="48" t="str">
        <f t="shared" si="183"/>
        <v/>
      </c>
      <c r="DX83" s="48" t="str">
        <f t="shared" si="183"/>
        <v/>
      </c>
      <c r="DY83" s="48" t="str">
        <f t="shared" si="183"/>
        <v/>
      </c>
      <c r="DZ83" s="48" t="str">
        <f t="shared" si="183"/>
        <v/>
      </c>
      <c r="EA83" s="48" t="str">
        <f t="shared" si="183"/>
        <v/>
      </c>
      <c r="EB83" s="48" t="str">
        <f t="shared" si="183"/>
        <v/>
      </c>
      <c r="EC83" s="48" t="str">
        <f t="shared" si="183"/>
        <v/>
      </c>
      <c r="ED83" s="48" t="str">
        <f t="shared" si="183"/>
        <v/>
      </c>
      <c r="EE83" s="48" t="str">
        <f t="shared" si="183"/>
        <v/>
      </c>
      <c r="EF83" s="48" t="str">
        <f t="shared" ref="EF83:EL83" si="184">IF(EF41="","",IF(ISERROR(EF41/EE41-1),"",EF41/EE41-1))</f>
        <v/>
      </c>
      <c r="EG83" s="48" t="str">
        <f t="shared" si="184"/>
        <v/>
      </c>
      <c r="EH83" s="48" t="str">
        <f t="shared" si="184"/>
        <v/>
      </c>
      <c r="EI83" s="48" t="str">
        <f t="shared" si="184"/>
        <v/>
      </c>
      <c r="EJ83" s="48" t="str">
        <f t="shared" si="184"/>
        <v/>
      </c>
      <c r="EK83" s="48" t="str">
        <f t="shared" si="184"/>
        <v/>
      </c>
      <c r="EL83" s="48" t="str">
        <f t="shared" si="184"/>
        <v/>
      </c>
    </row>
    <row r="84" spans="2:144" s="98" customFormat="1" x14ac:dyDescent="0.25">
      <c r="B84" s="26">
        <f t="shared" si="119"/>
        <v>34</v>
      </c>
      <c r="C84" s="105" t="str">
        <f t="shared" si="119"/>
        <v>BEBIDA GASEOSA</v>
      </c>
      <c r="D84" s="102">
        <f t="shared" si="119"/>
        <v>1.13388E-2</v>
      </c>
      <c r="E84" s="102">
        <f t="shared" si="119"/>
        <v>9.2001363127403743E-2</v>
      </c>
      <c r="G84" s="49"/>
      <c r="H84" s="49" t="str">
        <f t="shared" ref="H84:AM84" si="185">IF(H42="","",IF(ISERROR(H42/G42-1),"",H42/G42-1))</f>
        <v/>
      </c>
      <c r="I84" s="49" t="str">
        <f t="shared" si="185"/>
        <v/>
      </c>
      <c r="J84" s="49" t="str">
        <f t="shared" si="185"/>
        <v/>
      </c>
      <c r="K84" s="49" t="str">
        <f t="shared" si="185"/>
        <v/>
      </c>
      <c r="L84" s="49" t="str">
        <f t="shared" si="185"/>
        <v/>
      </c>
      <c r="M84" s="49" t="str">
        <f t="shared" si="185"/>
        <v/>
      </c>
      <c r="N84" s="49" t="str">
        <f t="shared" si="185"/>
        <v/>
      </c>
      <c r="O84" s="49" t="str">
        <f t="shared" si="185"/>
        <v/>
      </c>
      <c r="P84" s="49" t="str">
        <f t="shared" si="185"/>
        <v/>
      </c>
      <c r="Q84" s="49" t="str">
        <f t="shared" si="185"/>
        <v/>
      </c>
      <c r="R84" s="49" t="str">
        <f t="shared" si="185"/>
        <v/>
      </c>
      <c r="S84" s="49" t="str">
        <f t="shared" si="185"/>
        <v/>
      </c>
      <c r="T84" s="49" t="str">
        <f t="shared" si="185"/>
        <v/>
      </c>
      <c r="U84" s="49" t="str">
        <f t="shared" si="185"/>
        <v/>
      </c>
      <c r="V84" s="49" t="str">
        <f t="shared" si="185"/>
        <v/>
      </c>
      <c r="W84" s="49" t="str">
        <f t="shared" si="185"/>
        <v/>
      </c>
      <c r="X84" s="49" t="str">
        <f t="shared" si="185"/>
        <v/>
      </c>
      <c r="Y84" s="49" t="str">
        <f t="shared" si="185"/>
        <v/>
      </c>
      <c r="Z84" s="49" t="str">
        <f t="shared" si="185"/>
        <v/>
      </c>
      <c r="AA84" s="49" t="str">
        <f t="shared" si="185"/>
        <v/>
      </c>
      <c r="AB84" s="49" t="str">
        <f t="shared" si="185"/>
        <v/>
      </c>
      <c r="AC84" s="49" t="str">
        <f t="shared" si="185"/>
        <v/>
      </c>
      <c r="AD84" s="49" t="str">
        <f t="shared" si="185"/>
        <v/>
      </c>
      <c r="AE84" s="49" t="str">
        <f t="shared" si="185"/>
        <v/>
      </c>
      <c r="AF84" s="49" t="str">
        <f t="shared" si="185"/>
        <v/>
      </c>
      <c r="AG84" s="49" t="str">
        <f t="shared" si="185"/>
        <v/>
      </c>
      <c r="AH84" s="49" t="str">
        <f t="shared" si="185"/>
        <v/>
      </c>
      <c r="AI84" s="49" t="str">
        <f t="shared" si="185"/>
        <v/>
      </c>
      <c r="AJ84" s="49" t="str">
        <f t="shared" si="185"/>
        <v/>
      </c>
      <c r="AK84" s="49" t="str">
        <f t="shared" si="185"/>
        <v/>
      </c>
      <c r="AL84" s="49" t="str">
        <f t="shared" si="185"/>
        <v/>
      </c>
      <c r="AM84" s="49" t="str">
        <f t="shared" si="185"/>
        <v/>
      </c>
      <c r="AN84" s="49" t="str">
        <f t="shared" ref="AN84:BS84" si="186">IF(AN42="","",IF(ISERROR(AN42/AM42-1),"",AN42/AM42-1))</f>
        <v/>
      </c>
      <c r="AO84" s="49" t="str">
        <f t="shared" si="186"/>
        <v/>
      </c>
      <c r="AP84" s="49" t="str">
        <f t="shared" si="186"/>
        <v/>
      </c>
      <c r="AQ84" s="49" t="str">
        <f t="shared" si="186"/>
        <v/>
      </c>
      <c r="AR84" s="49" t="str">
        <f t="shared" si="186"/>
        <v/>
      </c>
      <c r="AS84" s="49" t="str">
        <f t="shared" si="186"/>
        <v/>
      </c>
      <c r="AT84" s="49" t="str">
        <f t="shared" si="186"/>
        <v/>
      </c>
      <c r="AU84" s="49" t="str">
        <f t="shared" si="186"/>
        <v/>
      </c>
      <c r="AV84" s="49" t="str">
        <f t="shared" si="186"/>
        <v/>
      </c>
      <c r="AW84" s="49" t="str">
        <f t="shared" si="186"/>
        <v/>
      </c>
      <c r="AX84" s="49" t="str">
        <f t="shared" si="186"/>
        <v/>
      </c>
      <c r="AY84" s="49" t="str">
        <f t="shared" si="186"/>
        <v/>
      </c>
      <c r="AZ84" s="49" t="str">
        <f t="shared" si="186"/>
        <v/>
      </c>
      <c r="BA84" s="49" t="str">
        <f t="shared" si="186"/>
        <v/>
      </c>
      <c r="BB84" s="49" t="str">
        <f t="shared" si="186"/>
        <v/>
      </c>
      <c r="BC84" s="49" t="str">
        <f t="shared" si="186"/>
        <v/>
      </c>
      <c r="BD84" s="49" t="str">
        <f t="shared" si="186"/>
        <v/>
      </c>
      <c r="BE84" s="49" t="str">
        <f t="shared" si="186"/>
        <v/>
      </c>
      <c r="BF84" s="49" t="str">
        <f t="shared" si="186"/>
        <v/>
      </c>
      <c r="BG84" s="49" t="str">
        <f t="shared" si="186"/>
        <v/>
      </c>
      <c r="BH84" s="49" t="str">
        <f t="shared" si="186"/>
        <v/>
      </c>
      <c r="BI84" s="49" t="str">
        <f t="shared" si="186"/>
        <v/>
      </c>
      <c r="BJ84" s="49" t="str">
        <f t="shared" si="186"/>
        <v/>
      </c>
      <c r="BK84" s="49" t="str">
        <f t="shared" si="186"/>
        <v/>
      </c>
      <c r="BL84" s="49" t="str">
        <f t="shared" si="186"/>
        <v/>
      </c>
      <c r="BM84" s="49" t="str">
        <f t="shared" si="186"/>
        <v/>
      </c>
      <c r="BN84" s="49" t="str">
        <f t="shared" si="186"/>
        <v/>
      </c>
      <c r="BO84" s="49" t="str">
        <f t="shared" si="186"/>
        <v/>
      </c>
      <c r="BP84" s="49" t="str">
        <f t="shared" si="186"/>
        <v/>
      </c>
      <c r="BQ84" s="49" t="str">
        <f t="shared" si="186"/>
        <v/>
      </c>
      <c r="BR84" s="49" t="str">
        <f t="shared" si="186"/>
        <v/>
      </c>
      <c r="BS84" s="49" t="str">
        <f t="shared" si="186"/>
        <v/>
      </c>
      <c r="BT84" s="49" t="str">
        <f t="shared" ref="BT84:CY84" si="187">IF(BT42="","",IF(ISERROR(BT42/BS42-1),"",BT42/BS42-1))</f>
        <v/>
      </c>
      <c r="BU84" s="49" t="str">
        <f t="shared" si="187"/>
        <v/>
      </c>
      <c r="BV84" s="49" t="str">
        <f t="shared" si="187"/>
        <v/>
      </c>
      <c r="BW84" s="49" t="str">
        <f t="shared" si="187"/>
        <v/>
      </c>
      <c r="BX84" s="49" t="str">
        <f t="shared" si="187"/>
        <v/>
      </c>
      <c r="BY84" s="49" t="str">
        <f t="shared" si="187"/>
        <v/>
      </c>
      <c r="BZ84" s="49" t="str">
        <f t="shared" si="187"/>
        <v/>
      </c>
      <c r="CA84" s="49" t="str">
        <f t="shared" si="187"/>
        <v/>
      </c>
      <c r="CB84" s="49" t="str">
        <f t="shared" si="187"/>
        <v/>
      </c>
      <c r="CC84" s="49" t="str">
        <f t="shared" si="187"/>
        <v/>
      </c>
      <c r="CD84" s="49" t="str">
        <f t="shared" si="187"/>
        <v/>
      </c>
      <c r="CE84" s="49" t="str">
        <f t="shared" si="187"/>
        <v/>
      </c>
      <c r="CF84" s="49" t="str">
        <f t="shared" si="187"/>
        <v/>
      </c>
      <c r="CG84" s="49" t="str">
        <f t="shared" si="187"/>
        <v/>
      </c>
      <c r="CH84" s="49" t="str">
        <f t="shared" si="187"/>
        <v/>
      </c>
      <c r="CI84" s="49" t="str">
        <f t="shared" si="187"/>
        <v/>
      </c>
      <c r="CJ84" s="49" t="str">
        <f t="shared" si="187"/>
        <v/>
      </c>
      <c r="CK84" s="49" t="str">
        <f t="shared" si="187"/>
        <v/>
      </c>
      <c r="CL84" s="49" t="str">
        <f t="shared" si="187"/>
        <v/>
      </c>
      <c r="CM84" s="49" t="str">
        <f t="shared" si="187"/>
        <v/>
      </c>
      <c r="CN84" s="49" t="str">
        <f t="shared" si="187"/>
        <v/>
      </c>
      <c r="CO84" s="49" t="str">
        <f t="shared" si="187"/>
        <v/>
      </c>
      <c r="CP84" s="49" t="str">
        <f t="shared" si="187"/>
        <v/>
      </c>
      <c r="CQ84" s="49" t="str">
        <f t="shared" si="187"/>
        <v/>
      </c>
      <c r="CR84" s="49" t="str">
        <f t="shared" si="187"/>
        <v/>
      </c>
      <c r="CS84" s="49" t="str">
        <f t="shared" si="187"/>
        <v/>
      </c>
      <c r="CT84" s="49" t="str">
        <f t="shared" si="187"/>
        <v/>
      </c>
      <c r="CU84" s="49" t="str">
        <f t="shared" si="187"/>
        <v/>
      </c>
      <c r="CV84" s="49" t="str">
        <f t="shared" si="187"/>
        <v/>
      </c>
      <c r="CW84" s="49" t="str">
        <f t="shared" si="187"/>
        <v/>
      </c>
      <c r="CX84" s="49" t="str">
        <f t="shared" si="187"/>
        <v/>
      </c>
      <c r="CY84" s="49" t="str">
        <f t="shared" si="187"/>
        <v/>
      </c>
      <c r="CZ84" s="49" t="str">
        <f t="shared" ref="CZ84:DL84" si="188">IF(CZ42="","",IF(ISERROR(CZ42/CY42-1),"",CZ42/CY42-1))</f>
        <v/>
      </c>
      <c r="DA84" s="49" t="str">
        <f t="shared" si="188"/>
        <v/>
      </c>
      <c r="DB84" s="49" t="str">
        <f t="shared" si="188"/>
        <v/>
      </c>
      <c r="DC84" s="49" t="str">
        <f t="shared" si="188"/>
        <v/>
      </c>
      <c r="DD84" s="49" t="str">
        <f t="shared" si="188"/>
        <v/>
      </c>
      <c r="DE84" s="49" t="str">
        <f t="shared" si="188"/>
        <v/>
      </c>
      <c r="DF84" s="49" t="str">
        <f t="shared" si="188"/>
        <v/>
      </c>
      <c r="DG84" s="49" t="str">
        <f t="shared" si="188"/>
        <v/>
      </c>
      <c r="DH84" s="49" t="str">
        <f t="shared" si="188"/>
        <v/>
      </c>
      <c r="DI84" s="49" t="str">
        <f t="shared" si="188"/>
        <v/>
      </c>
      <c r="DJ84" s="49" t="str">
        <f t="shared" si="188"/>
        <v/>
      </c>
      <c r="DK84" s="49" t="str">
        <f t="shared" si="188"/>
        <v/>
      </c>
      <c r="DL84" s="49" t="str">
        <f t="shared" si="188"/>
        <v/>
      </c>
      <c r="DM84" s="49"/>
      <c r="DN84" s="49">
        <f t="shared" ref="DN84:EL84" si="189">IF(DN42="","",IF(ISERROR(DN42/DM42-1),"",DN42/DM42-1))</f>
        <v>4.3249030485373874E-2</v>
      </c>
      <c r="DO84" s="49">
        <f t="shared" si="189"/>
        <v>3.8550751318431109E-2</v>
      </c>
      <c r="DP84" s="49" t="str">
        <f t="shared" si="189"/>
        <v/>
      </c>
      <c r="DQ84" s="49" t="str">
        <f t="shared" si="189"/>
        <v/>
      </c>
      <c r="DR84" s="49" t="str">
        <f t="shared" si="189"/>
        <v/>
      </c>
      <c r="DS84" s="49" t="str">
        <f t="shared" si="189"/>
        <v/>
      </c>
      <c r="DT84" s="49" t="str">
        <f t="shared" si="189"/>
        <v/>
      </c>
      <c r="DU84" s="49" t="str">
        <f t="shared" si="189"/>
        <v/>
      </c>
      <c r="DV84" s="49" t="str">
        <f t="shared" si="189"/>
        <v/>
      </c>
      <c r="DW84" s="49" t="str">
        <f t="shared" si="189"/>
        <v/>
      </c>
      <c r="DX84" s="49" t="str">
        <f t="shared" si="189"/>
        <v/>
      </c>
      <c r="DY84" s="49" t="str">
        <f t="shared" si="189"/>
        <v/>
      </c>
      <c r="DZ84" s="49" t="str">
        <f t="shared" si="189"/>
        <v/>
      </c>
      <c r="EA84" s="49" t="str">
        <f t="shared" si="189"/>
        <v/>
      </c>
      <c r="EB84" s="49" t="str">
        <f t="shared" si="189"/>
        <v/>
      </c>
      <c r="EC84" s="49" t="str">
        <f t="shared" si="189"/>
        <v/>
      </c>
      <c r="ED84" s="49" t="str">
        <f t="shared" si="189"/>
        <v/>
      </c>
      <c r="EE84" s="49" t="str">
        <f t="shared" si="189"/>
        <v/>
      </c>
      <c r="EF84" s="49" t="str">
        <f t="shared" si="189"/>
        <v/>
      </c>
      <c r="EG84" s="49" t="str">
        <f t="shared" si="189"/>
        <v/>
      </c>
      <c r="EH84" s="49" t="str">
        <f t="shared" si="189"/>
        <v/>
      </c>
      <c r="EI84" s="49" t="str">
        <f t="shared" si="189"/>
        <v/>
      </c>
      <c r="EJ84" s="49" t="str">
        <f t="shared" si="189"/>
        <v/>
      </c>
      <c r="EK84" s="49" t="str">
        <f t="shared" si="189"/>
        <v/>
      </c>
      <c r="EL84" s="49" t="str">
        <f t="shared" si="189"/>
        <v/>
      </c>
      <c r="EM84" s="16"/>
      <c r="EN84" s="16"/>
    </row>
    <row r="85" spans="2:144" x14ac:dyDescent="0.25">
      <c r="B85" s="10"/>
      <c r="C85" s="45" t="s">
        <v>412</v>
      </c>
      <c r="D85" s="46">
        <f>SUM(D51:D84)</f>
        <v>0.12324599999999998</v>
      </c>
      <c r="E85" s="46">
        <f>SUM(E51:E84)</f>
        <v>1.0000000000000002</v>
      </c>
    </row>
    <row r="89" spans="2:144" x14ac:dyDescent="0.25">
      <c r="B89" s="15" t="s">
        <v>414</v>
      </c>
    </row>
    <row r="91" spans="2:144" ht="30" customHeight="1" x14ac:dyDescent="0.25">
      <c r="B91" s="17" t="s">
        <v>408</v>
      </c>
      <c r="C91" s="17" t="s">
        <v>409</v>
      </c>
      <c r="D91" s="17" t="s">
        <v>410</v>
      </c>
      <c r="E91" s="17" t="s">
        <v>411</v>
      </c>
      <c r="G91" s="11">
        <f t="shared" ref="G91:AL91" si="190">IF(G$8="","",G$8)</f>
        <v>39448</v>
      </c>
      <c r="H91" s="11">
        <f t="shared" si="190"/>
        <v>39479</v>
      </c>
      <c r="I91" s="11">
        <f t="shared" si="190"/>
        <v>39508</v>
      </c>
      <c r="J91" s="11">
        <f t="shared" si="190"/>
        <v>39539</v>
      </c>
      <c r="K91" s="11">
        <f t="shared" si="190"/>
        <v>39569</v>
      </c>
      <c r="L91" s="11">
        <f t="shared" si="190"/>
        <v>39600</v>
      </c>
      <c r="M91" s="11">
        <f t="shared" si="190"/>
        <v>39630</v>
      </c>
      <c r="N91" s="11">
        <f t="shared" si="190"/>
        <v>39661</v>
      </c>
      <c r="O91" s="11">
        <f t="shared" si="190"/>
        <v>39692</v>
      </c>
      <c r="P91" s="11">
        <f t="shared" si="190"/>
        <v>39722</v>
      </c>
      <c r="Q91" s="11">
        <f t="shared" si="190"/>
        <v>39753</v>
      </c>
      <c r="R91" s="11">
        <f t="shared" si="190"/>
        <v>39783</v>
      </c>
      <c r="S91" s="11">
        <f t="shared" si="190"/>
        <v>39814</v>
      </c>
      <c r="T91" s="11">
        <f t="shared" si="190"/>
        <v>39845</v>
      </c>
      <c r="U91" s="11">
        <f t="shared" si="190"/>
        <v>39873</v>
      </c>
      <c r="V91" s="11">
        <f t="shared" si="190"/>
        <v>39904</v>
      </c>
      <c r="W91" s="11">
        <f t="shared" si="190"/>
        <v>39934</v>
      </c>
      <c r="X91" s="11">
        <f t="shared" si="190"/>
        <v>39965</v>
      </c>
      <c r="Y91" s="11">
        <f t="shared" si="190"/>
        <v>39995</v>
      </c>
      <c r="Z91" s="11">
        <f t="shared" si="190"/>
        <v>40026</v>
      </c>
      <c r="AA91" s="11">
        <f t="shared" si="190"/>
        <v>40057</v>
      </c>
      <c r="AB91" s="11">
        <f t="shared" si="190"/>
        <v>40087</v>
      </c>
      <c r="AC91" s="11">
        <f t="shared" si="190"/>
        <v>40118</v>
      </c>
      <c r="AD91" s="11">
        <f t="shared" si="190"/>
        <v>40148</v>
      </c>
      <c r="AE91" s="11">
        <f t="shared" si="190"/>
        <v>40179</v>
      </c>
      <c r="AF91" s="11">
        <f t="shared" si="190"/>
        <v>40210</v>
      </c>
      <c r="AG91" s="11">
        <f t="shared" si="190"/>
        <v>40238</v>
      </c>
      <c r="AH91" s="11">
        <f t="shared" si="190"/>
        <v>40269</v>
      </c>
      <c r="AI91" s="11">
        <f t="shared" si="190"/>
        <v>40299</v>
      </c>
      <c r="AJ91" s="11">
        <f t="shared" si="190"/>
        <v>40330</v>
      </c>
      <c r="AK91" s="11">
        <f t="shared" si="190"/>
        <v>40360</v>
      </c>
      <c r="AL91" s="11">
        <f t="shared" si="190"/>
        <v>40391</v>
      </c>
      <c r="AM91" s="11">
        <f t="shared" ref="AM91:BR91" si="191">IF(AM$8="","",AM$8)</f>
        <v>40422</v>
      </c>
      <c r="AN91" s="11">
        <f t="shared" si="191"/>
        <v>40452</v>
      </c>
      <c r="AO91" s="11">
        <f t="shared" si="191"/>
        <v>40483</v>
      </c>
      <c r="AP91" s="11">
        <f t="shared" si="191"/>
        <v>40513</v>
      </c>
      <c r="AQ91" s="11">
        <f t="shared" si="191"/>
        <v>40544</v>
      </c>
      <c r="AR91" s="11">
        <f t="shared" si="191"/>
        <v>40575</v>
      </c>
      <c r="AS91" s="11">
        <f t="shared" si="191"/>
        <v>40603</v>
      </c>
      <c r="AT91" s="11">
        <f t="shared" si="191"/>
        <v>40634</v>
      </c>
      <c r="AU91" s="11">
        <f t="shared" si="191"/>
        <v>40664</v>
      </c>
      <c r="AV91" s="11">
        <f t="shared" si="191"/>
        <v>40695</v>
      </c>
      <c r="AW91" s="11">
        <f t="shared" si="191"/>
        <v>40725</v>
      </c>
      <c r="AX91" s="11">
        <f t="shared" si="191"/>
        <v>40756</v>
      </c>
      <c r="AY91" s="11">
        <f t="shared" si="191"/>
        <v>40787</v>
      </c>
      <c r="AZ91" s="11">
        <f t="shared" si="191"/>
        <v>40817</v>
      </c>
      <c r="BA91" s="11">
        <f t="shared" si="191"/>
        <v>40848</v>
      </c>
      <c r="BB91" s="11">
        <f t="shared" si="191"/>
        <v>40878</v>
      </c>
      <c r="BC91" s="11">
        <f t="shared" si="191"/>
        <v>40909</v>
      </c>
      <c r="BD91" s="11">
        <f t="shared" si="191"/>
        <v>40940</v>
      </c>
      <c r="BE91" s="11">
        <f t="shared" si="191"/>
        <v>40969</v>
      </c>
      <c r="BF91" s="11">
        <f t="shared" si="191"/>
        <v>41000</v>
      </c>
      <c r="BG91" s="11">
        <f t="shared" si="191"/>
        <v>41030</v>
      </c>
      <c r="BH91" s="11">
        <f t="shared" si="191"/>
        <v>41061</v>
      </c>
      <c r="BI91" s="11">
        <f t="shared" si="191"/>
        <v>41091</v>
      </c>
      <c r="BJ91" s="11">
        <f t="shared" si="191"/>
        <v>41122</v>
      </c>
      <c r="BK91" s="11">
        <f t="shared" si="191"/>
        <v>41153</v>
      </c>
      <c r="BL91" s="11">
        <f t="shared" si="191"/>
        <v>41183</v>
      </c>
      <c r="BM91" s="11">
        <f t="shared" si="191"/>
        <v>41214</v>
      </c>
      <c r="BN91" s="11">
        <f t="shared" si="191"/>
        <v>41244</v>
      </c>
      <c r="BO91" s="11">
        <f t="shared" si="191"/>
        <v>41275</v>
      </c>
      <c r="BP91" s="11">
        <f t="shared" si="191"/>
        <v>41306</v>
      </c>
      <c r="BQ91" s="11">
        <f t="shared" si="191"/>
        <v>41334</v>
      </c>
      <c r="BR91" s="11">
        <f t="shared" si="191"/>
        <v>41365</v>
      </c>
      <c r="BS91" s="11">
        <f t="shared" ref="BS91:CX91" si="192">IF(BS$8="","",BS$8)</f>
        <v>41395</v>
      </c>
      <c r="BT91" s="11">
        <f t="shared" si="192"/>
        <v>41426</v>
      </c>
      <c r="BU91" s="11">
        <f t="shared" si="192"/>
        <v>41456</v>
      </c>
      <c r="BV91" s="11">
        <f t="shared" si="192"/>
        <v>41487</v>
      </c>
      <c r="BW91" s="11">
        <f t="shared" si="192"/>
        <v>41518</v>
      </c>
      <c r="BX91" s="11">
        <f t="shared" si="192"/>
        <v>41548</v>
      </c>
      <c r="BY91" s="11">
        <f t="shared" si="192"/>
        <v>41579</v>
      </c>
      <c r="BZ91" s="11">
        <f t="shared" si="192"/>
        <v>41609</v>
      </c>
      <c r="CA91" s="11">
        <f t="shared" si="192"/>
        <v>41640</v>
      </c>
      <c r="CB91" s="11">
        <f t="shared" si="192"/>
        <v>41671</v>
      </c>
      <c r="CC91" s="11">
        <f t="shared" si="192"/>
        <v>41699</v>
      </c>
      <c r="CD91" s="11">
        <f t="shared" si="192"/>
        <v>41730</v>
      </c>
      <c r="CE91" s="11">
        <f t="shared" si="192"/>
        <v>41760</v>
      </c>
      <c r="CF91" s="11">
        <f t="shared" si="192"/>
        <v>41791</v>
      </c>
      <c r="CG91" s="11">
        <f t="shared" si="192"/>
        <v>41821</v>
      </c>
      <c r="CH91" s="11">
        <f t="shared" si="192"/>
        <v>41852</v>
      </c>
      <c r="CI91" s="11">
        <f t="shared" si="192"/>
        <v>41883</v>
      </c>
      <c r="CJ91" s="11">
        <f t="shared" si="192"/>
        <v>41913</v>
      </c>
      <c r="CK91" s="11">
        <f t="shared" si="192"/>
        <v>41944</v>
      </c>
      <c r="CL91" s="11">
        <f t="shared" si="192"/>
        <v>41974</v>
      </c>
      <c r="CM91" s="11">
        <f t="shared" si="192"/>
        <v>42005</v>
      </c>
      <c r="CN91" s="11">
        <f t="shared" si="192"/>
        <v>42036</v>
      </c>
      <c r="CO91" s="11">
        <f t="shared" si="192"/>
        <v>42064</v>
      </c>
      <c r="CP91" s="11">
        <f t="shared" si="192"/>
        <v>42095</v>
      </c>
      <c r="CQ91" s="11">
        <f t="shared" si="192"/>
        <v>42125</v>
      </c>
      <c r="CR91" s="11">
        <f t="shared" si="192"/>
        <v>42156</v>
      </c>
      <c r="CS91" s="11">
        <f t="shared" si="192"/>
        <v>42186</v>
      </c>
      <c r="CT91" s="11">
        <f t="shared" si="192"/>
        <v>42217</v>
      </c>
      <c r="CU91" s="11">
        <f t="shared" si="192"/>
        <v>42248</v>
      </c>
      <c r="CV91" s="11">
        <f t="shared" si="192"/>
        <v>42278</v>
      </c>
      <c r="CW91" s="11">
        <f t="shared" si="192"/>
        <v>42309</v>
      </c>
      <c r="CX91" s="11">
        <f t="shared" si="192"/>
        <v>42339</v>
      </c>
      <c r="CY91" s="11">
        <f t="shared" ref="CY91:ED91" si="193">IF(CY$8="","",CY$8)</f>
        <v>42370</v>
      </c>
      <c r="CZ91" s="11">
        <f t="shared" si="193"/>
        <v>42401</v>
      </c>
      <c r="DA91" s="11">
        <f t="shared" si="193"/>
        <v>42430</v>
      </c>
      <c r="DB91" s="11">
        <f t="shared" si="193"/>
        <v>42461</v>
      </c>
      <c r="DC91" s="11">
        <f t="shared" si="193"/>
        <v>42491</v>
      </c>
      <c r="DD91" s="11">
        <f t="shared" si="193"/>
        <v>42522</v>
      </c>
      <c r="DE91" s="11">
        <f t="shared" si="193"/>
        <v>42552</v>
      </c>
      <c r="DF91" s="11">
        <f t="shared" si="193"/>
        <v>42583</v>
      </c>
      <c r="DG91" s="11">
        <f t="shared" si="193"/>
        <v>42614</v>
      </c>
      <c r="DH91" s="11">
        <f t="shared" si="193"/>
        <v>42644</v>
      </c>
      <c r="DI91" s="11">
        <f t="shared" si="193"/>
        <v>42675</v>
      </c>
      <c r="DJ91" s="11">
        <f t="shared" si="193"/>
        <v>42705</v>
      </c>
      <c r="DK91" s="11">
        <f t="shared" si="193"/>
        <v>42736</v>
      </c>
      <c r="DL91" s="11">
        <f t="shared" si="193"/>
        <v>42767</v>
      </c>
      <c r="DM91" s="11">
        <f t="shared" si="193"/>
        <v>42795</v>
      </c>
      <c r="DN91" s="11">
        <f t="shared" si="193"/>
        <v>42826</v>
      </c>
      <c r="DO91" s="11">
        <f t="shared" si="193"/>
        <v>42856</v>
      </c>
      <c r="DP91" s="11" t="str">
        <f t="shared" si="193"/>
        <v/>
      </c>
      <c r="DQ91" s="11" t="str">
        <f t="shared" si="193"/>
        <v/>
      </c>
      <c r="DR91" s="11" t="str">
        <f t="shared" si="193"/>
        <v/>
      </c>
      <c r="DS91" s="11" t="str">
        <f t="shared" si="193"/>
        <v/>
      </c>
      <c r="DT91" s="11" t="str">
        <f t="shared" si="193"/>
        <v/>
      </c>
      <c r="DU91" s="11" t="str">
        <f t="shared" si="193"/>
        <v/>
      </c>
      <c r="DV91" s="11" t="str">
        <f t="shared" si="193"/>
        <v/>
      </c>
      <c r="DW91" s="11" t="str">
        <f t="shared" si="193"/>
        <v/>
      </c>
      <c r="DX91" s="11" t="str">
        <f t="shared" si="193"/>
        <v/>
      </c>
      <c r="DY91" s="11" t="str">
        <f t="shared" si="193"/>
        <v/>
      </c>
      <c r="DZ91" s="11" t="str">
        <f t="shared" si="193"/>
        <v/>
      </c>
      <c r="EA91" s="11" t="str">
        <f t="shared" si="193"/>
        <v/>
      </c>
      <c r="EB91" s="11" t="str">
        <f t="shared" si="193"/>
        <v/>
      </c>
      <c r="EC91" s="11" t="str">
        <f t="shared" si="193"/>
        <v/>
      </c>
      <c r="ED91" s="11" t="str">
        <f t="shared" si="193"/>
        <v/>
      </c>
      <c r="EE91" s="11" t="str">
        <f t="shared" ref="EE91:EL91" si="194">IF(EE$8="","",EE$8)</f>
        <v/>
      </c>
      <c r="EF91" s="11" t="str">
        <f t="shared" si="194"/>
        <v/>
      </c>
      <c r="EG91" s="11" t="str">
        <f t="shared" si="194"/>
        <v/>
      </c>
      <c r="EH91" s="11" t="str">
        <f t="shared" si="194"/>
        <v/>
      </c>
      <c r="EI91" s="11" t="str">
        <f t="shared" si="194"/>
        <v/>
      </c>
      <c r="EJ91" s="11" t="str">
        <f t="shared" si="194"/>
        <v/>
      </c>
      <c r="EK91" s="11" t="str">
        <f t="shared" si="194"/>
        <v/>
      </c>
      <c r="EL91" s="11" t="str">
        <f t="shared" si="194"/>
        <v/>
      </c>
    </row>
    <row r="92" spans="2:144" x14ac:dyDescent="0.25">
      <c r="B92" s="18">
        <f t="shared" ref="B92:E111" si="195">B9</f>
        <v>1</v>
      </c>
      <c r="C92" s="19" t="str">
        <f t="shared" si="195"/>
        <v>ACEITE VEGETAL</v>
      </c>
      <c r="D92" s="20">
        <f t="shared" si="195"/>
        <v>3.4550000000000002E-3</v>
      </c>
      <c r="E92" s="20">
        <f t="shared" si="195"/>
        <v>2.8033364165976994E-2</v>
      </c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 t="str">
        <f t="shared" ref="S92:S125" si="196">IF(S9="","",IF(ISERROR(S9/G9-1),"",S9/G9-1))</f>
        <v/>
      </c>
      <c r="T92" s="47" t="str">
        <f t="shared" ref="T92:T125" si="197">IF(T9="","",IF(ISERROR(T9/H9-1),"",T9/H9-1))</f>
        <v/>
      </c>
      <c r="U92" s="47" t="str">
        <f t="shared" ref="U92:U125" si="198">IF(U9="","",IF(ISERROR(U9/I9-1),"",U9/I9-1))</f>
        <v/>
      </c>
      <c r="V92" s="47" t="str">
        <f t="shared" ref="V92:V125" si="199">IF(V9="","",IF(ISERROR(V9/J9-1),"",V9/J9-1))</f>
        <v/>
      </c>
      <c r="W92" s="47" t="str">
        <f t="shared" ref="W92:W125" si="200">IF(W9="","",IF(ISERROR(W9/K9-1),"",W9/K9-1))</f>
        <v/>
      </c>
      <c r="X92" s="47" t="str">
        <f t="shared" ref="X92:X125" si="201">IF(X9="","",IF(ISERROR(X9/L9-1),"",X9/L9-1))</f>
        <v/>
      </c>
      <c r="Y92" s="47" t="str">
        <f t="shared" ref="Y92:Y125" si="202">IF(Y9="","",IF(ISERROR(Y9/M9-1),"",Y9/M9-1))</f>
        <v/>
      </c>
      <c r="Z92" s="47" t="str">
        <f t="shared" ref="Z92:Z125" si="203">IF(Z9="","",IF(ISERROR(Z9/N9-1),"",Z9/N9-1))</f>
        <v/>
      </c>
      <c r="AA92" s="47" t="str">
        <f t="shared" ref="AA92:AA125" si="204">IF(AA9="","",IF(ISERROR(AA9/O9-1),"",AA9/O9-1))</f>
        <v/>
      </c>
      <c r="AB92" s="47" t="str">
        <f t="shared" ref="AB92:AB125" si="205">IF(AB9="","",IF(ISERROR(AB9/P9-1),"",AB9/P9-1))</f>
        <v/>
      </c>
      <c r="AC92" s="47" t="str">
        <f t="shared" ref="AC92:AC125" si="206">IF(AC9="","",IF(ISERROR(AC9/Q9-1),"",AC9/Q9-1))</f>
        <v/>
      </c>
      <c r="AD92" s="47" t="str">
        <f t="shared" ref="AD92:AD125" si="207">IF(AD9="","",IF(ISERROR(AD9/R9-1),"",AD9/R9-1))</f>
        <v/>
      </c>
      <c r="AE92" s="47" t="str">
        <f t="shared" ref="AE92:AE125" si="208">IF(AE9="","",IF(ISERROR(AE9/S9-1),"",AE9/S9-1))</f>
        <v/>
      </c>
      <c r="AF92" s="47" t="str">
        <f t="shared" ref="AF92:AF125" si="209">IF(AF9="","",IF(ISERROR(AF9/T9-1),"",AF9/T9-1))</f>
        <v/>
      </c>
      <c r="AG92" s="47" t="str">
        <f t="shared" ref="AG92:AG125" si="210">IF(AG9="","",IF(ISERROR(AG9/U9-1),"",AG9/U9-1))</f>
        <v/>
      </c>
      <c r="AH92" s="47" t="str">
        <f t="shared" ref="AH92:AH125" si="211">IF(AH9="","",IF(ISERROR(AH9/V9-1),"",AH9/V9-1))</f>
        <v/>
      </c>
      <c r="AI92" s="47" t="str">
        <f t="shared" ref="AI92:AI125" si="212">IF(AI9="","",IF(ISERROR(AI9/W9-1),"",AI9/W9-1))</f>
        <v/>
      </c>
      <c r="AJ92" s="47" t="str">
        <f t="shared" ref="AJ92:AJ125" si="213">IF(AJ9="","",IF(ISERROR(AJ9/X9-1),"",AJ9/X9-1))</f>
        <v/>
      </c>
      <c r="AK92" s="47" t="str">
        <f t="shared" ref="AK92:AK125" si="214">IF(AK9="","",IF(ISERROR(AK9/Y9-1),"",AK9/Y9-1))</f>
        <v/>
      </c>
      <c r="AL92" s="47" t="str">
        <f t="shared" ref="AL92:AL125" si="215">IF(AL9="","",IF(ISERROR(AL9/Z9-1),"",AL9/Z9-1))</f>
        <v/>
      </c>
      <c r="AM92" s="47" t="str">
        <f t="shared" ref="AM92:AM125" si="216">IF(AM9="","",IF(ISERROR(AM9/AA9-1),"",AM9/AA9-1))</f>
        <v/>
      </c>
      <c r="AN92" s="47" t="str">
        <f t="shared" ref="AN92:AN125" si="217">IF(AN9="","",IF(ISERROR(AN9/AB9-1),"",AN9/AB9-1))</f>
        <v/>
      </c>
      <c r="AO92" s="47" t="str">
        <f t="shared" ref="AO92:AO125" si="218">IF(AO9="","",IF(ISERROR(AO9/AC9-1),"",AO9/AC9-1))</f>
        <v/>
      </c>
      <c r="AP92" s="47" t="str">
        <f t="shared" ref="AP92:AP125" si="219">IF(AP9="","",IF(ISERROR(AP9/AD9-1),"",AP9/AD9-1))</f>
        <v/>
      </c>
      <c r="AQ92" s="47" t="str">
        <f t="shared" ref="AQ92:AQ125" si="220">IF(AQ9="","",IF(ISERROR(AQ9/AE9-1),"",AQ9/AE9-1))</f>
        <v/>
      </c>
      <c r="AR92" s="47" t="str">
        <f t="shared" ref="AR92:AR125" si="221">IF(AR9="","",IF(ISERROR(AR9/AF9-1),"",AR9/AF9-1))</f>
        <v/>
      </c>
      <c r="AS92" s="47" t="str">
        <f t="shared" ref="AS92:AS125" si="222">IF(AS9="","",IF(ISERROR(AS9/AG9-1),"",AS9/AG9-1))</f>
        <v/>
      </c>
      <c r="AT92" s="47" t="str">
        <f t="shared" ref="AT92:AT125" si="223">IF(AT9="","",IF(ISERROR(AT9/AH9-1),"",AT9/AH9-1))</f>
        <v/>
      </c>
      <c r="AU92" s="47" t="str">
        <f t="shared" ref="AU92:AU125" si="224">IF(AU9="","",IF(ISERROR(AU9/AI9-1),"",AU9/AI9-1))</f>
        <v/>
      </c>
      <c r="AV92" s="47" t="str">
        <f t="shared" ref="AV92:AV125" si="225">IF(AV9="","",IF(ISERROR(AV9/AJ9-1),"",AV9/AJ9-1))</f>
        <v/>
      </c>
      <c r="AW92" s="47" t="str">
        <f t="shared" ref="AW92:AW125" si="226">IF(AW9="","",IF(ISERROR(AW9/AK9-1),"",AW9/AK9-1))</f>
        <v/>
      </c>
      <c r="AX92" s="47" t="str">
        <f t="shared" ref="AX92:AX125" si="227">IF(AX9="","",IF(ISERROR(AX9/AL9-1),"",AX9/AL9-1))</f>
        <v/>
      </c>
      <c r="AY92" s="47" t="str">
        <f t="shared" ref="AY92:AY125" si="228">IF(AY9="","",IF(ISERROR(AY9/AM9-1),"",AY9/AM9-1))</f>
        <v/>
      </c>
      <c r="AZ92" s="47" t="str">
        <f t="shared" ref="AZ92:AZ125" si="229">IF(AZ9="","",IF(ISERROR(AZ9/AN9-1),"",AZ9/AN9-1))</f>
        <v/>
      </c>
      <c r="BA92" s="47" t="str">
        <f t="shared" ref="BA92:BA125" si="230">IF(BA9="","",IF(ISERROR(BA9/AO9-1),"",BA9/AO9-1))</f>
        <v/>
      </c>
      <c r="BB92" s="47" t="str">
        <f t="shared" ref="BB92:BB125" si="231">IF(BB9="","",IF(ISERROR(BB9/AP9-1),"",BB9/AP9-1))</f>
        <v/>
      </c>
      <c r="BC92" s="47" t="str">
        <f t="shared" ref="BC92:BC125" si="232">IF(BC9="","",IF(ISERROR(BC9/AQ9-1),"",BC9/AQ9-1))</f>
        <v/>
      </c>
      <c r="BD92" s="47" t="str">
        <f t="shared" ref="BD92:BD125" si="233">IF(BD9="","",IF(ISERROR(BD9/AR9-1),"",BD9/AR9-1))</f>
        <v/>
      </c>
      <c r="BE92" s="47" t="str">
        <f t="shared" ref="BE92:BE125" si="234">IF(BE9="","",IF(ISERROR(BE9/AS9-1),"",BE9/AS9-1))</f>
        <v/>
      </c>
      <c r="BF92" s="47" t="str">
        <f t="shared" ref="BF92:BF125" si="235">IF(BF9="","",IF(ISERROR(BF9/AT9-1),"",BF9/AT9-1))</f>
        <v/>
      </c>
      <c r="BG92" s="47" t="str">
        <f t="shared" ref="BG92:BG125" si="236">IF(BG9="","",IF(ISERROR(BG9/AU9-1),"",BG9/AU9-1))</f>
        <v/>
      </c>
      <c r="BH92" s="47" t="str">
        <f t="shared" ref="BH92:BH125" si="237">IF(BH9="","",IF(ISERROR(BH9/AV9-1),"",BH9/AV9-1))</f>
        <v/>
      </c>
      <c r="BI92" s="47" t="str">
        <f t="shared" ref="BI92:BI125" si="238">IF(BI9="","",IF(ISERROR(BI9/AW9-1),"",BI9/AW9-1))</f>
        <v/>
      </c>
      <c r="BJ92" s="47" t="str">
        <f t="shared" ref="BJ92:BJ125" si="239">IF(BJ9="","",IF(ISERROR(BJ9/AX9-1),"",BJ9/AX9-1))</f>
        <v/>
      </c>
      <c r="BK92" s="47" t="str">
        <f t="shared" ref="BK92:BK125" si="240">IF(BK9="","",IF(ISERROR(BK9/AY9-1),"",BK9/AY9-1))</f>
        <v/>
      </c>
      <c r="BL92" s="47" t="str">
        <f t="shared" ref="BL92:BL125" si="241">IF(BL9="","",IF(ISERROR(BL9/AZ9-1),"",BL9/AZ9-1))</f>
        <v/>
      </c>
      <c r="BM92" s="47" t="str">
        <f t="shared" ref="BM92:BM125" si="242">IF(BM9="","",IF(ISERROR(BM9/BA9-1),"",BM9/BA9-1))</f>
        <v/>
      </c>
      <c r="BN92" s="47" t="str">
        <f t="shared" ref="BN92:BN125" si="243">IF(BN9="","",IF(ISERROR(BN9/BB9-1),"",BN9/BB9-1))</f>
        <v/>
      </c>
      <c r="BO92" s="47" t="str">
        <f t="shared" ref="BO92:BO125" si="244">IF(BO9="","",IF(ISERROR(BO9/BC9-1),"",BO9/BC9-1))</f>
        <v/>
      </c>
      <c r="BP92" s="47" t="str">
        <f t="shared" ref="BP92:BP125" si="245">IF(BP9="","",IF(ISERROR(BP9/BD9-1),"",BP9/BD9-1))</f>
        <v/>
      </c>
      <c r="BQ92" s="47" t="str">
        <f t="shared" ref="BQ92:BQ125" si="246">IF(BQ9="","",IF(ISERROR(BQ9/BE9-1),"",BQ9/BE9-1))</f>
        <v/>
      </c>
      <c r="BR92" s="47" t="str">
        <f t="shared" ref="BR92:BR125" si="247">IF(BR9="","",IF(ISERROR(BR9/BF9-1),"",BR9/BF9-1))</f>
        <v/>
      </c>
      <c r="BS92" s="47" t="str">
        <f t="shared" ref="BS92:BS125" si="248">IF(BS9="","",IF(ISERROR(BS9/BG9-1),"",BS9/BG9-1))</f>
        <v/>
      </c>
      <c r="BT92" s="47" t="str">
        <f t="shared" ref="BT92:BT125" si="249">IF(BT9="","",IF(ISERROR(BT9/BH9-1),"",BT9/BH9-1))</f>
        <v/>
      </c>
      <c r="BU92" s="47" t="str">
        <f t="shared" ref="BU92:BU125" si="250">IF(BU9="","",IF(ISERROR(BU9/BI9-1),"",BU9/BI9-1))</f>
        <v/>
      </c>
      <c r="BV92" s="47" t="str">
        <f t="shared" ref="BV92:BV125" si="251">IF(BV9="","",IF(ISERROR(BV9/BJ9-1),"",BV9/BJ9-1))</f>
        <v/>
      </c>
      <c r="BW92" s="47" t="str">
        <f t="shared" ref="BW92:BW125" si="252">IF(BW9="","",IF(ISERROR(BW9/BK9-1),"",BW9/BK9-1))</f>
        <v/>
      </c>
      <c r="BX92" s="47" t="str">
        <f t="shared" ref="BX92:BX125" si="253">IF(BX9="","",IF(ISERROR(BX9/BL9-1),"",BX9/BL9-1))</f>
        <v/>
      </c>
      <c r="BY92" s="47" t="str">
        <f t="shared" ref="BY92:BY125" si="254">IF(BY9="","",IF(ISERROR(BY9/BM9-1),"",BY9/BM9-1))</f>
        <v/>
      </c>
      <c r="BZ92" s="47" t="str">
        <f t="shared" ref="BZ92:BZ125" si="255">IF(BZ9="","",IF(ISERROR(BZ9/BN9-1),"",BZ9/BN9-1))</f>
        <v/>
      </c>
      <c r="CA92" s="47">
        <f t="shared" ref="CA92:CA125" si="256">IF(CA9="","",IF(ISERROR(CA9/BO9-1),"",CA9/BO9-1))</f>
        <v>-2.8196803134819204E-2</v>
      </c>
      <c r="CB92" s="47">
        <f t="shared" ref="CB92:CB125" si="257">IF(CB9="","",IF(ISERROR(CB9/BP9-1),"",CB9/BP9-1))</f>
        <v>-1.4426662300840443E-3</v>
      </c>
      <c r="CC92" s="47">
        <f t="shared" ref="CC92:CC125" si="258">IF(CC9="","",IF(ISERROR(CC9/BQ9-1),"",CC9/BQ9-1))</f>
        <v>-1.0818686309074232E-3</v>
      </c>
      <c r="CD92" s="47">
        <f t="shared" ref="CD92:CD125" si="259">IF(CD9="","",IF(ISERROR(CD9/BR9-1),"",CD9/BR9-1))</f>
        <v>1.0408466061855748E-2</v>
      </c>
      <c r="CE92" s="47">
        <f t="shared" ref="CE92:CE125" si="260">IF(CE9="","",IF(ISERROR(CE9/BS9-1),"",CE9/BS9-1))</f>
        <v>2.4616280922033162E-2</v>
      </c>
      <c r="CF92" s="47">
        <f t="shared" ref="CF92:CF125" si="261">IF(CF9="","",IF(ISERROR(CF9/BT9-1),"",CF9/BT9-1))</f>
        <v>1.432416569052597E-2</v>
      </c>
      <c r="CG92" s="47">
        <f t="shared" ref="CG92:CG125" si="262">IF(CG9="","",IF(ISERROR(CG9/BU9-1),"",CG9/BU9-1))</f>
        <v>5.8259795075451315E-2</v>
      </c>
      <c r="CH92" s="47">
        <f t="shared" ref="CH92:CH125" si="263">IF(CH9="","",IF(ISERROR(CH9/BV9-1),"",CH9/BV9-1))</f>
        <v>6.4701711062165712E-2</v>
      </c>
      <c r="CI92" s="47">
        <f t="shared" ref="CI92:CI125" si="264">IF(CI9="","",IF(ISERROR(CI9/BW9-1),"",CI9/BW9-1))</f>
        <v>4.2064128557996794E-2</v>
      </c>
      <c r="CJ92" s="47">
        <f t="shared" ref="CJ92:CJ125" si="265">IF(CJ9="","",IF(ISERROR(CJ9/BX9-1),"",CJ9/BX9-1))</f>
        <v>3.1079526320046291E-2</v>
      </c>
      <c r="CK92" s="47">
        <f t="shared" ref="CK92:CK125" si="266">IF(CK9="","",IF(ISERROR(CK9/BY9-1),"",CK9/BY9-1))</f>
        <v>4.7587319165029562E-2</v>
      </c>
      <c r="CL92" s="47">
        <f t="shared" ref="CL92:CL125" si="267">IF(CL9="","",IF(ISERROR(CL9/BZ9-1),"",CL9/BZ9-1))</f>
        <v>2.7048199426557451E-2</v>
      </c>
      <c r="CM92" s="47">
        <f t="shared" ref="CM92:CM125" si="268">IF(CM9="","",IF(ISERROR(CM9/CA9-1),"",CM9/CA9-1))</f>
        <v>4.3482665560692801E-2</v>
      </c>
      <c r="CN92" s="47">
        <f t="shared" ref="CN92:CN125" si="269">IF(CN9="","",IF(ISERROR(CN9/CB9-1),"",CN9/CB9-1))</f>
        <v>2.6500326802114005E-2</v>
      </c>
      <c r="CO92" s="47">
        <f t="shared" ref="CO92:CO125" si="270">IF(CO9="","",IF(ISERROR(CO9/CC9-1),"",CO9/CC9-1))</f>
        <v>2.1484508167290528E-2</v>
      </c>
      <c r="CP92" s="47">
        <f t="shared" ref="CP92:CP125" si="271">IF(CP9="","",IF(ISERROR(CP9/CD9-1),"",CP9/CD9-1))</f>
        <v>1.9609151408588765E-2</v>
      </c>
      <c r="CQ92" s="47">
        <f t="shared" ref="CQ92:CQ125" si="272">IF(CQ9="","",IF(ISERROR(CQ9/CE9-1),"",CQ9/CE9-1))</f>
        <v>2.491923591633638E-2</v>
      </c>
      <c r="CR92" s="47">
        <f t="shared" ref="CR92:CR125" si="273">IF(CR9="","",IF(ISERROR(CR9/CF9-1),"",CR9/CF9-1))</f>
        <v>2.0325362351460319E-2</v>
      </c>
      <c r="CS92" s="47">
        <f t="shared" ref="CS92:CS125" si="274">IF(CS9="","",IF(ISERROR(CS9/CG9-1),"",CS9/CG9-1))</f>
        <v>-1.2485748643054961E-2</v>
      </c>
      <c r="CT92" s="47">
        <f t="shared" ref="CT92:CT125" si="275">IF(CT9="","",IF(ISERROR(CT9/CH9-1),"",CT9/CH9-1))</f>
        <v>-1.3253172472936336E-2</v>
      </c>
      <c r="CU92" s="47">
        <f t="shared" ref="CU92:CU125" si="276">IF(CU9="","",IF(ISERROR(CU9/CI9-1),"",CU9/CI9-1))</f>
        <v>-9.9418475456886091E-3</v>
      </c>
      <c r="CV92" s="47">
        <f t="shared" ref="CV92:CV125" si="277">IF(CV9="","",IF(ISERROR(CV9/CJ9-1),"",CV9/CJ9-1))</f>
        <v>1.6306268702606763E-2</v>
      </c>
      <c r="CW92" s="47">
        <f t="shared" ref="CW92:CW125" si="278">IF(CW9="","",IF(ISERROR(CW9/CK9-1),"",CW9/CK9-1))</f>
        <v>4.4238490197385127E-2</v>
      </c>
      <c r="CX92" s="47">
        <f t="shared" ref="CX92:CX125" si="279">IF(CX9="","",IF(ISERROR(CX9/CL9-1),"",CX9/CL9-1))</f>
        <v>5.4142917441497129E-2</v>
      </c>
      <c r="CY92" s="47">
        <f t="shared" ref="CY92:CY125" si="280">IF(CY9="","",IF(ISERROR(CY9/CM9-1),"",CY9/CM9-1))</f>
        <v>6.535296380852218E-2</v>
      </c>
      <c r="CZ92" s="47">
        <f t="shared" ref="CZ92:CZ125" si="281">IF(CZ9="","",IF(ISERROR(CZ9/CN9-1),"",CZ9/CN9-1))</f>
        <v>8.104764629539285E-2</v>
      </c>
      <c r="DA92" s="47">
        <f t="shared" ref="DA92:DA125" si="282">IF(DA9="","",IF(ISERROR(DA9/CO9-1),"",DA9/CO9-1))</f>
        <v>7.5579810486724464E-2</v>
      </c>
      <c r="DB92" s="47">
        <f t="shared" ref="DB92:DB125" si="283">IF(DB9="","",IF(ISERROR(DB9/CP9-1),"",DB9/CP9-1))</f>
        <v>7.1335910139873171E-2</v>
      </c>
      <c r="DC92" s="47">
        <f t="shared" ref="DC92:DC125" si="284">IF(DC9="","",IF(ISERROR(DC9/CQ9-1),"",DC9/CQ9-1))</f>
        <v>3.2140428707257085E-2</v>
      </c>
      <c r="DD92" s="47">
        <f t="shared" ref="DD92:DD125" si="285">IF(DD9="","",IF(ISERROR(DD9/CR9-1),"",DD9/CR9-1))</f>
        <v>4.3606335144715791E-2</v>
      </c>
      <c r="DE92" s="47">
        <f t="shared" ref="DE92:DE125" si="286">IF(DE9="","",IF(ISERROR(DE9/CS9-1),"",DE9/CS9-1))</f>
        <v>8.053374645903344E-2</v>
      </c>
      <c r="DF92" s="47">
        <f t="shared" ref="DF92:DF125" si="287">IF(DF9="","",IF(ISERROR(DF9/CT9-1),"",DF9/CT9-1))</f>
        <v>0.10049848335500933</v>
      </c>
      <c r="DG92" s="47">
        <f t="shared" ref="DG92:DG125" si="288">IF(DG9="","",IF(ISERROR(DG9/CU9-1),"",DG9/CU9-1))</f>
        <v>0.11522875342757954</v>
      </c>
      <c r="DH92" s="47">
        <f t="shared" ref="DH92:DH125" si="289">IF(DH9="","",IF(ISERROR(DH9/CV9-1),"",DH9/CV9-1))</f>
        <v>7.3332682826982687E-2</v>
      </c>
      <c r="DI92" s="47">
        <f t="shared" ref="DI92:DI125" si="290">IF(DI9="","",IF(ISERROR(DI9/CW9-1),"",DI9/CW9-1))</f>
        <v>5.5442820778759172E-2</v>
      </c>
      <c r="DJ92" s="47">
        <f t="shared" ref="DJ92:DJ125" si="291">IF(DJ9="","",IF(ISERROR(DJ9/CX9-1),"",DJ9/CX9-1))</f>
        <v>5.0117352484227551E-2</v>
      </c>
      <c r="DK92" s="47">
        <f t="shared" ref="DK92:DK125" si="292">IF(DK9="","",IF(ISERROR(DK9/CY9-1),"",DK9/CY9-1))</f>
        <v>5.3028714187538073E-2</v>
      </c>
      <c r="DL92" s="47">
        <f t="shared" ref="DL92:DL125" si="293">IF(DL9="","",IF(ISERROR(DL9/CZ9-1),"",DL9/CZ9-1))</f>
        <v>2.2941992019640312E-2</v>
      </c>
      <c r="DM92" s="47">
        <f t="shared" ref="DM92:DM125" si="294">IF(DM9="","",IF(ISERROR(DM9/DA9-1),"",DM9/DA9-1))</f>
        <v>2.4959063858928321E-2</v>
      </c>
      <c r="DN92" s="47">
        <f t="shared" ref="DN92:DN125" si="295">IF(DN9="","",IF(ISERROR(DN9/DB9-1),"",DN9/DB9-1))</f>
        <v>8.3462792509387818E-3</v>
      </c>
      <c r="DO92" s="47">
        <f t="shared" ref="DO92:DO125" si="296">IF(DO9="","",IF(ISERROR(DO9/DC9-1),"",DO9/DC9-1))</f>
        <v>1.3776633655727233E-2</v>
      </c>
      <c r="DP92" s="47" t="str">
        <f t="shared" ref="DP92:DP125" si="297">IF(DP9="","",IF(ISERROR(DP9/DD9-1),"",DP9/DD9-1))</f>
        <v/>
      </c>
      <c r="DQ92" s="47" t="str">
        <f t="shared" ref="DQ92:DQ125" si="298">IF(DQ9="","",IF(ISERROR(DQ9/DE9-1),"",DQ9/DE9-1))</f>
        <v/>
      </c>
      <c r="DR92" s="47" t="str">
        <f t="shared" ref="DR92:DR125" si="299">IF(DR9="","",IF(ISERROR(DR9/DF9-1),"",DR9/DF9-1))</f>
        <v/>
      </c>
      <c r="DS92" s="47" t="str">
        <f t="shared" ref="DS92:DS125" si="300">IF(DS9="","",IF(ISERROR(DS9/DG9-1),"",DS9/DG9-1))</f>
        <v/>
      </c>
      <c r="DT92" s="47" t="str">
        <f t="shared" ref="DT92:DT125" si="301">IF(DT9="","",IF(ISERROR(DT9/DH9-1),"",DT9/DH9-1))</f>
        <v/>
      </c>
      <c r="DU92" s="47" t="str">
        <f t="shared" ref="DU92:DU125" si="302">IF(DU9="","",IF(ISERROR(DU9/DI9-1),"",DU9/DI9-1))</f>
        <v/>
      </c>
      <c r="DV92" s="47" t="str">
        <f t="shared" ref="DV92:DV125" si="303">IF(DV9="","",IF(ISERROR(DV9/DJ9-1),"",DV9/DJ9-1))</f>
        <v/>
      </c>
      <c r="DW92" s="47" t="str">
        <f t="shared" ref="DW92:DW125" si="304">IF(DW9="","",IF(ISERROR(DW9/DK9-1),"",DW9/DK9-1))</f>
        <v/>
      </c>
      <c r="DX92" s="47" t="str">
        <f t="shared" ref="DX92:DX125" si="305">IF(DX9="","",IF(ISERROR(DX9/DL9-1),"",DX9/DL9-1))</f>
        <v/>
      </c>
      <c r="DY92" s="47" t="str">
        <f t="shared" ref="DY92:DY125" si="306">IF(DY9="","",IF(ISERROR(DY9/DM9-1),"",DY9/DM9-1))</f>
        <v/>
      </c>
      <c r="DZ92" s="47" t="str">
        <f t="shared" ref="DZ92:DZ125" si="307">IF(DZ9="","",IF(ISERROR(DZ9/DN9-1),"",DZ9/DN9-1))</f>
        <v/>
      </c>
      <c r="EA92" s="47" t="str">
        <f t="shared" ref="EA92:EA125" si="308">IF(EA9="","",IF(ISERROR(EA9/DO9-1),"",EA9/DO9-1))</f>
        <v/>
      </c>
      <c r="EB92" s="47" t="str">
        <f t="shared" ref="EB92:EB125" si="309">IF(EB9="","",IF(ISERROR(EB9/DP9-1),"",EB9/DP9-1))</f>
        <v/>
      </c>
      <c r="EC92" s="47" t="str">
        <f t="shared" ref="EC92:EC125" si="310">IF(EC9="","",IF(ISERROR(EC9/DQ9-1),"",EC9/DQ9-1))</f>
        <v/>
      </c>
      <c r="ED92" s="47" t="str">
        <f t="shared" ref="ED92:ED125" si="311">IF(ED9="","",IF(ISERROR(ED9/DR9-1),"",ED9/DR9-1))</f>
        <v/>
      </c>
      <c r="EE92" s="47" t="str">
        <f t="shared" ref="EE92:EE125" si="312">IF(EE9="","",IF(ISERROR(EE9/DS9-1),"",EE9/DS9-1))</f>
        <v/>
      </c>
      <c r="EF92" s="47" t="str">
        <f t="shared" ref="EF92:EF125" si="313">IF(EF9="","",IF(ISERROR(EF9/DT9-1),"",EF9/DT9-1))</f>
        <v/>
      </c>
      <c r="EG92" s="47" t="str">
        <f t="shared" ref="EG92:EG125" si="314">IF(EG9="","",IF(ISERROR(EG9/DU9-1),"",EG9/DU9-1))</f>
        <v/>
      </c>
      <c r="EH92" s="47" t="str">
        <f t="shared" ref="EH92:EH125" si="315">IF(EH9="","",IF(ISERROR(EH9/DV9-1),"",EH9/DV9-1))</f>
        <v/>
      </c>
      <c r="EI92" s="47" t="str">
        <f t="shared" ref="EI92:EI125" si="316">IF(EI9="","",IF(ISERROR(EI9/DW9-1),"",EI9/DW9-1))</f>
        <v/>
      </c>
      <c r="EJ92" s="47" t="str">
        <f t="shared" ref="EJ92:EJ125" si="317">IF(EJ9="","",IF(ISERROR(EJ9/DX9-1),"",EJ9/DX9-1))</f>
        <v/>
      </c>
      <c r="EK92" s="47" t="str">
        <f t="shared" ref="EK92:EK125" si="318">IF(EK9="","",IF(ISERROR(EK9/DY9-1),"",EK9/DY9-1))</f>
        <v/>
      </c>
      <c r="EL92" s="47" t="str">
        <f t="shared" ref="EL92:EL125" si="319">IF(EL9="","",IF(ISERROR(EL9/DZ9-1),"",EL9/DZ9-1))</f>
        <v/>
      </c>
    </row>
    <row r="93" spans="2:144" x14ac:dyDescent="0.25">
      <c r="B93" s="22">
        <f t="shared" si="195"/>
        <v>2</v>
      </c>
      <c r="C93" s="23" t="str">
        <f t="shared" si="195"/>
        <v>AZÚCAR</v>
      </c>
      <c r="D93" s="24">
        <f t="shared" si="195"/>
        <v>1.8716E-3</v>
      </c>
      <c r="E93" s="24">
        <f t="shared" si="195"/>
        <v>1.5185888385829968E-2</v>
      </c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 t="str">
        <f t="shared" si="196"/>
        <v/>
      </c>
      <c r="T93" s="48" t="str">
        <f t="shared" si="197"/>
        <v/>
      </c>
      <c r="U93" s="48" t="str">
        <f t="shared" si="198"/>
        <v/>
      </c>
      <c r="V93" s="48" t="str">
        <f t="shared" si="199"/>
        <v/>
      </c>
      <c r="W93" s="48" t="str">
        <f t="shared" si="200"/>
        <v/>
      </c>
      <c r="X93" s="48" t="str">
        <f t="shared" si="201"/>
        <v/>
      </c>
      <c r="Y93" s="48" t="str">
        <f t="shared" si="202"/>
        <v/>
      </c>
      <c r="Z93" s="48" t="str">
        <f t="shared" si="203"/>
        <v/>
      </c>
      <c r="AA93" s="48" t="str">
        <f t="shared" si="204"/>
        <v/>
      </c>
      <c r="AB93" s="48" t="str">
        <f t="shared" si="205"/>
        <v/>
      </c>
      <c r="AC93" s="48" t="str">
        <f t="shared" si="206"/>
        <v/>
      </c>
      <c r="AD93" s="48" t="str">
        <f t="shared" si="207"/>
        <v/>
      </c>
      <c r="AE93" s="48" t="str">
        <f t="shared" si="208"/>
        <v/>
      </c>
      <c r="AF93" s="48" t="str">
        <f t="shared" si="209"/>
        <v/>
      </c>
      <c r="AG93" s="48" t="str">
        <f t="shared" si="210"/>
        <v/>
      </c>
      <c r="AH93" s="48" t="str">
        <f t="shared" si="211"/>
        <v/>
      </c>
      <c r="AI93" s="48" t="str">
        <f t="shared" si="212"/>
        <v/>
      </c>
      <c r="AJ93" s="48" t="str">
        <f t="shared" si="213"/>
        <v/>
      </c>
      <c r="AK93" s="48" t="str">
        <f t="shared" si="214"/>
        <v/>
      </c>
      <c r="AL93" s="48" t="str">
        <f t="shared" si="215"/>
        <v/>
      </c>
      <c r="AM93" s="48" t="str">
        <f t="shared" si="216"/>
        <v/>
      </c>
      <c r="AN93" s="48" t="str">
        <f t="shared" si="217"/>
        <v/>
      </c>
      <c r="AO93" s="48" t="str">
        <f t="shared" si="218"/>
        <v/>
      </c>
      <c r="AP93" s="48" t="str">
        <f t="shared" si="219"/>
        <v/>
      </c>
      <c r="AQ93" s="48" t="str">
        <f t="shared" si="220"/>
        <v/>
      </c>
      <c r="AR93" s="48" t="str">
        <f t="shared" si="221"/>
        <v/>
      </c>
      <c r="AS93" s="48" t="str">
        <f t="shared" si="222"/>
        <v/>
      </c>
      <c r="AT93" s="48" t="str">
        <f t="shared" si="223"/>
        <v/>
      </c>
      <c r="AU93" s="48" t="str">
        <f t="shared" si="224"/>
        <v/>
      </c>
      <c r="AV93" s="48" t="str">
        <f t="shared" si="225"/>
        <v/>
      </c>
      <c r="AW93" s="48" t="str">
        <f t="shared" si="226"/>
        <v/>
      </c>
      <c r="AX93" s="48" t="str">
        <f t="shared" si="227"/>
        <v/>
      </c>
      <c r="AY93" s="48" t="str">
        <f t="shared" si="228"/>
        <v/>
      </c>
      <c r="AZ93" s="48" t="str">
        <f t="shared" si="229"/>
        <v/>
      </c>
      <c r="BA93" s="48" t="str">
        <f t="shared" si="230"/>
        <v/>
      </c>
      <c r="BB93" s="48" t="str">
        <f t="shared" si="231"/>
        <v/>
      </c>
      <c r="BC93" s="48" t="str">
        <f t="shared" si="232"/>
        <v/>
      </c>
      <c r="BD93" s="48" t="str">
        <f t="shared" si="233"/>
        <v/>
      </c>
      <c r="BE93" s="48" t="str">
        <f t="shared" si="234"/>
        <v/>
      </c>
      <c r="BF93" s="48" t="str">
        <f t="shared" si="235"/>
        <v/>
      </c>
      <c r="BG93" s="48" t="str">
        <f t="shared" si="236"/>
        <v/>
      </c>
      <c r="BH93" s="48" t="str">
        <f t="shared" si="237"/>
        <v/>
      </c>
      <c r="BI93" s="48" t="str">
        <f t="shared" si="238"/>
        <v/>
      </c>
      <c r="BJ93" s="48" t="str">
        <f t="shared" si="239"/>
        <v/>
      </c>
      <c r="BK93" s="48" t="str">
        <f t="shared" si="240"/>
        <v/>
      </c>
      <c r="BL93" s="48" t="str">
        <f t="shared" si="241"/>
        <v/>
      </c>
      <c r="BM93" s="48" t="str">
        <f t="shared" si="242"/>
        <v/>
      </c>
      <c r="BN93" s="48" t="str">
        <f t="shared" si="243"/>
        <v/>
      </c>
      <c r="BO93" s="48" t="str">
        <f t="shared" si="244"/>
        <v/>
      </c>
      <c r="BP93" s="48" t="str">
        <f t="shared" si="245"/>
        <v/>
      </c>
      <c r="BQ93" s="48" t="str">
        <f t="shared" si="246"/>
        <v/>
      </c>
      <c r="BR93" s="48" t="str">
        <f t="shared" si="247"/>
        <v/>
      </c>
      <c r="BS93" s="48" t="str">
        <f t="shared" si="248"/>
        <v/>
      </c>
      <c r="BT93" s="48" t="str">
        <f t="shared" si="249"/>
        <v/>
      </c>
      <c r="BU93" s="48" t="str">
        <f t="shared" si="250"/>
        <v/>
      </c>
      <c r="BV93" s="48" t="str">
        <f t="shared" si="251"/>
        <v/>
      </c>
      <c r="BW93" s="48" t="str">
        <f t="shared" si="252"/>
        <v/>
      </c>
      <c r="BX93" s="48" t="str">
        <f t="shared" si="253"/>
        <v/>
      </c>
      <c r="BY93" s="48" t="str">
        <f t="shared" si="254"/>
        <v/>
      </c>
      <c r="BZ93" s="48" t="str">
        <f t="shared" si="255"/>
        <v/>
      </c>
      <c r="CA93" s="48">
        <f t="shared" si="256"/>
        <v>-2.7798735428269938E-2</v>
      </c>
      <c r="CB93" s="48">
        <f t="shared" si="257"/>
        <v>-2.869742183528412E-2</v>
      </c>
      <c r="CC93" s="48">
        <f t="shared" si="258"/>
        <v>-2.6029681663758852E-2</v>
      </c>
      <c r="CD93" s="48">
        <f t="shared" si="259"/>
        <v>-1.1808894942653581E-2</v>
      </c>
      <c r="CE93" s="48">
        <f t="shared" si="260"/>
        <v>-9.9807147844299671E-5</v>
      </c>
      <c r="CF93" s="48">
        <f t="shared" si="261"/>
        <v>1.3601019962738103E-2</v>
      </c>
      <c r="CG93" s="48">
        <f t="shared" si="262"/>
        <v>6.2884916114211098E-2</v>
      </c>
      <c r="CH93" s="48">
        <f t="shared" si="263"/>
        <v>7.0388623937641004E-2</v>
      </c>
      <c r="CI93" s="48">
        <f t="shared" si="264"/>
        <v>7.523828767604579E-2</v>
      </c>
      <c r="CJ93" s="48">
        <f t="shared" si="265"/>
        <v>4.5268450057651011E-2</v>
      </c>
      <c r="CK93" s="48">
        <f t="shared" si="266"/>
        <v>7.0311853396923807E-2</v>
      </c>
      <c r="CL93" s="48">
        <f t="shared" si="267"/>
        <v>6.578205434529294E-2</v>
      </c>
      <c r="CM93" s="48">
        <f t="shared" si="268"/>
        <v>5.8541930957185961E-2</v>
      </c>
      <c r="CN93" s="48">
        <f t="shared" si="269"/>
        <v>5.8290955891032503E-2</v>
      </c>
      <c r="CO93" s="48">
        <f t="shared" si="270"/>
        <v>6.3780590959543915E-2</v>
      </c>
      <c r="CP93" s="48">
        <f t="shared" si="271"/>
        <v>5.6604541316476853E-2</v>
      </c>
      <c r="CQ93" s="48">
        <f t="shared" si="272"/>
        <v>4.4724724980173436E-2</v>
      </c>
      <c r="CR93" s="48">
        <f t="shared" si="273"/>
        <v>2.0123899112613586E-2</v>
      </c>
      <c r="CS93" s="48">
        <f t="shared" si="274"/>
        <v>8.0000449546524521E-4</v>
      </c>
      <c r="CT93" s="48">
        <f t="shared" si="275"/>
        <v>1.7647099976443315E-3</v>
      </c>
      <c r="CU93" s="48">
        <f t="shared" si="276"/>
        <v>1.6635533360771282E-2</v>
      </c>
      <c r="CV93" s="48">
        <f t="shared" si="277"/>
        <v>3.6210948597161785E-2</v>
      </c>
      <c r="CW93" s="48">
        <f t="shared" si="278"/>
        <v>4.0443669186600584E-2</v>
      </c>
      <c r="CX93" s="48">
        <f t="shared" si="279"/>
        <v>4.7372333788419763E-2</v>
      </c>
      <c r="CY93" s="48">
        <f t="shared" si="280"/>
        <v>4.9841019647586249E-2</v>
      </c>
      <c r="CZ93" s="48">
        <f t="shared" si="281"/>
        <v>8.1582487700243567E-2</v>
      </c>
      <c r="DA93" s="48">
        <f t="shared" si="282"/>
        <v>9.6791615167387768E-2</v>
      </c>
      <c r="DB93" s="48">
        <f t="shared" si="283"/>
        <v>0.10181198458517704</v>
      </c>
      <c r="DC93" s="48">
        <f t="shared" si="284"/>
        <v>0.10183902631414554</v>
      </c>
      <c r="DD93" s="48">
        <f t="shared" si="285"/>
        <v>0.10688406945607687</v>
      </c>
      <c r="DE93" s="48">
        <f t="shared" si="286"/>
        <v>9.7576055691387387E-2</v>
      </c>
      <c r="DF93" s="48">
        <f t="shared" si="287"/>
        <v>0.11726618914231612</v>
      </c>
      <c r="DG93" s="48">
        <f t="shared" si="288"/>
        <v>0.10210803481500341</v>
      </c>
      <c r="DH93" s="48">
        <f t="shared" si="289"/>
        <v>0.11789754181579326</v>
      </c>
      <c r="DI93" s="48">
        <f t="shared" si="290"/>
        <v>0.12420292990765902</v>
      </c>
      <c r="DJ93" s="48">
        <f t="shared" si="291"/>
        <v>9.7480256296694989E-2</v>
      </c>
      <c r="DK93" s="48">
        <f t="shared" si="292"/>
        <v>0.10940430968470838</v>
      </c>
      <c r="DL93" s="48">
        <f t="shared" si="293"/>
        <v>7.4041352357051782E-2</v>
      </c>
      <c r="DM93" s="48">
        <f t="shared" si="294"/>
        <v>6.5248458328125869E-2</v>
      </c>
      <c r="DN93" s="48">
        <f t="shared" si="295"/>
        <v>6.9078786716597174E-2</v>
      </c>
      <c r="DO93" s="48">
        <f t="shared" si="296"/>
        <v>6.2850025608812476E-2</v>
      </c>
      <c r="DP93" s="48" t="str">
        <f t="shared" si="297"/>
        <v/>
      </c>
      <c r="DQ93" s="48" t="str">
        <f t="shared" si="298"/>
        <v/>
      </c>
      <c r="DR93" s="48" t="str">
        <f t="shared" si="299"/>
        <v/>
      </c>
      <c r="DS93" s="48" t="str">
        <f t="shared" si="300"/>
        <v/>
      </c>
      <c r="DT93" s="48" t="str">
        <f t="shared" si="301"/>
        <v/>
      </c>
      <c r="DU93" s="48" t="str">
        <f t="shared" si="302"/>
        <v/>
      </c>
      <c r="DV93" s="48" t="str">
        <f t="shared" si="303"/>
        <v/>
      </c>
      <c r="DW93" s="48" t="str">
        <f t="shared" si="304"/>
        <v/>
      </c>
      <c r="DX93" s="48" t="str">
        <f t="shared" si="305"/>
        <v/>
      </c>
      <c r="DY93" s="48" t="str">
        <f t="shared" si="306"/>
        <v/>
      </c>
      <c r="DZ93" s="48" t="str">
        <f t="shared" si="307"/>
        <v/>
      </c>
      <c r="EA93" s="48" t="str">
        <f t="shared" si="308"/>
        <v/>
      </c>
      <c r="EB93" s="48" t="str">
        <f t="shared" si="309"/>
        <v/>
      </c>
      <c r="EC93" s="48" t="str">
        <f t="shared" si="310"/>
        <v/>
      </c>
      <c r="ED93" s="48" t="str">
        <f t="shared" si="311"/>
        <v/>
      </c>
      <c r="EE93" s="48" t="str">
        <f t="shared" si="312"/>
        <v/>
      </c>
      <c r="EF93" s="48" t="str">
        <f t="shared" si="313"/>
        <v/>
      </c>
      <c r="EG93" s="48" t="str">
        <f t="shared" si="314"/>
        <v/>
      </c>
      <c r="EH93" s="48" t="str">
        <f t="shared" si="315"/>
        <v/>
      </c>
      <c r="EI93" s="48" t="str">
        <f t="shared" si="316"/>
        <v/>
      </c>
      <c r="EJ93" s="48" t="str">
        <f t="shared" si="317"/>
        <v/>
      </c>
      <c r="EK93" s="48" t="str">
        <f t="shared" si="318"/>
        <v/>
      </c>
      <c r="EL93" s="48" t="str">
        <f t="shared" si="319"/>
        <v/>
      </c>
    </row>
    <row r="94" spans="2:144" x14ac:dyDescent="0.25">
      <c r="B94" s="22">
        <f t="shared" si="195"/>
        <v>3</v>
      </c>
      <c r="C94" s="23" t="str">
        <f t="shared" si="195"/>
        <v>CARNE DE VACUNO</v>
      </c>
      <c r="D94" s="24">
        <f t="shared" si="195"/>
        <v>1.7129100000000001E-2</v>
      </c>
      <c r="E94" s="24">
        <f t="shared" si="195"/>
        <v>0.13898300959057497</v>
      </c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 t="str">
        <f t="shared" si="196"/>
        <v/>
      </c>
      <c r="T94" s="48" t="str">
        <f t="shared" si="197"/>
        <v/>
      </c>
      <c r="U94" s="48" t="str">
        <f t="shared" si="198"/>
        <v/>
      </c>
      <c r="V94" s="48" t="str">
        <f t="shared" si="199"/>
        <v/>
      </c>
      <c r="W94" s="48" t="str">
        <f t="shared" si="200"/>
        <v/>
      </c>
      <c r="X94" s="48" t="str">
        <f t="shared" si="201"/>
        <v/>
      </c>
      <c r="Y94" s="48" t="str">
        <f t="shared" si="202"/>
        <v/>
      </c>
      <c r="Z94" s="48">
        <f t="shared" si="203"/>
        <v>-9.1191618737050173E-2</v>
      </c>
      <c r="AA94" s="48">
        <f t="shared" si="204"/>
        <v>-8.7542120975674043E-2</v>
      </c>
      <c r="AB94" s="48">
        <f t="shared" si="205"/>
        <v>-9.482463914242556E-2</v>
      </c>
      <c r="AC94" s="48">
        <f t="shared" si="206"/>
        <v>-0.11475584068353151</v>
      </c>
      <c r="AD94" s="48">
        <f t="shared" si="207"/>
        <v>-9.244232239158201E-2</v>
      </c>
      <c r="AE94" s="48">
        <f t="shared" si="208"/>
        <v>-6.150217168446992E-2</v>
      </c>
      <c r="AF94" s="48">
        <f t="shared" si="209"/>
        <v>-6.5784329804739694E-2</v>
      </c>
      <c r="AG94" s="48">
        <f t="shared" si="210"/>
        <v>-6.2729407153837569E-3</v>
      </c>
      <c r="AH94" s="48">
        <f t="shared" si="211"/>
        <v>1.3368814949752172E-2</v>
      </c>
      <c r="AI94" s="48">
        <f t="shared" si="212"/>
        <v>6.5961946084593936E-3</v>
      </c>
      <c r="AJ94" s="48">
        <f t="shared" si="213"/>
        <v>3.8514849027455833E-2</v>
      </c>
      <c r="AK94" s="48">
        <f t="shared" si="214"/>
        <v>7.4236034941884688E-2</v>
      </c>
      <c r="AL94" s="48">
        <f t="shared" si="215"/>
        <v>2.8740319299525474E-2</v>
      </c>
      <c r="AM94" s="48">
        <f t="shared" si="216"/>
        <v>4.5917707877992653E-2</v>
      </c>
      <c r="AN94" s="48">
        <f t="shared" si="217"/>
        <v>8.9756216501396757E-2</v>
      </c>
      <c r="AO94" s="48">
        <f t="shared" si="218"/>
        <v>0.16494502892046281</v>
      </c>
      <c r="AP94" s="48">
        <f t="shared" si="219"/>
        <v>0.21765453372228349</v>
      </c>
      <c r="AQ94" s="48">
        <f t="shared" si="220"/>
        <v>0.15904300163785967</v>
      </c>
      <c r="AR94" s="48">
        <f t="shared" si="221"/>
        <v>0.16619002205811939</v>
      </c>
      <c r="AS94" s="48">
        <f t="shared" si="222"/>
        <v>0.20220601712367703</v>
      </c>
      <c r="AT94" s="48">
        <f t="shared" si="223"/>
        <v>0.24658489344607704</v>
      </c>
      <c r="AU94" s="48">
        <f t="shared" si="224"/>
        <v>0.18752444931656731</v>
      </c>
      <c r="AV94" s="48">
        <f t="shared" si="225"/>
        <v>0.13119385768311131</v>
      </c>
      <c r="AW94" s="48">
        <f t="shared" si="226"/>
        <v>0.10725808834027362</v>
      </c>
      <c r="AX94" s="48">
        <f t="shared" si="227"/>
        <v>0.10455996329182882</v>
      </c>
      <c r="AY94" s="48">
        <f t="shared" si="228"/>
        <v>0.12234872432506316</v>
      </c>
      <c r="AZ94" s="48">
        <f t="shared" si="229"/>
        <v>0.14352873796156729</v>
      </c>
      <c r="BA94" s="48">
        <f t="shared" si="230"/>
        <v>0.13821697254563259</v>
      </c>
      <c r="BB94" s="48">
        <f t="shared" si="231"/>
        <v>0.11499071780305181</v>
      </c>
      <c r="BC94" s="48">
        <f t="shared" si="232"/>
        <v>0.10682353939130262</v>
      </c>
      <c r="BD94" s="48">
        <f t="shared" si="233"/>
        <v>0.12933012945833555</v>
      </c>
      <c r="BE94" s="48">
        <f t="shared" si="234"/>
        <v>9.0843982875518092E-2</v>
      </c>
      <c r="BF94" s="48">
        <f t="shared" si="235"/>
        <v>4.0963013707471463E-2</v>
      </c>
      <c r="BG94" s="48">
        <f t="shared" si="236"/>
        <v>6.0600210383605635E-2</v>
      </c>
      <c r="BH94" s="48">
        <f t="shared" si="237"/>
        <v>6.9375954274876195E-2</v>
      </c>
      <c r="BI94" s="48">
        <f t="shared" si="238"/>
        <v>6.7131291696183926E-2</v>
      </c>
      <c r="BJ94" s="48">
        <f t="shared" si="239"/>
        <v>8.0048660469405064E-2</v>
      </c>
      <c r="BK94" s="48">
        <f t="shared" si="240"/>
        <v>8.0057780606221263E-2</v>
      </c>
      <c r="BL94" s="48">
        <f t="shared" si="241"/>
        <v>3.3153434924784397E-2</v>
      </c>
      <c r="BM94" s="48">
        <f t="shared" si="242"/>
        <v>-1.1618689817237571E-2</v>
      </c>
      <c r="BN94" s="48">
        <f t="shared" si="243"/>
        <v>-3.8303170055469127E-2</v>
      </c>
      <c r="BO94" s="48">
        <f t="shared" si="244"/>
        <v>-1.1618947070705543E-2</v>
      </c>
      <c r="BP94" s="48">
        <f t="shared" si="245"/>
        <v>-4.6701525177970771E-2</v>
      </c>
      <c r="BQ94" s="48">
        <f t="shared" si="246"/>
        <v>-6.9916566249293766E-2</v>
      </c>
      <c r="BR94" s="48">
        <f t="shared" si="247"/>
        <v>-8.4128025182958588E-2</v>
      </c>
      <c r="BS94" s="48">
        <f t="shared" si="248"/>
        <v>-6.4014767665495409E-2</v>
      </c>
      <c r="BT94" s="48">
        <f t="shared" si="249"/>
        <v>-4.3545289728083136E-2</v>
      </c>
      <c r="BU94" s="48">
        <f t="shared" si="250"/>
        <v>-1.6491896487588753E-2</v>
      </c>
      <c r="BV94" s="48">
        <f t="shared" si="251"/>
        <v>-2.0612316651294149E-2</v>
      </c>
      <c r="BW94" s="48">
        <f t="shared" si="252"/>
        <v>-2.3251076890851152E-2</v>
      </c>
      <c r="BX94" s="48">
        <f t="shared" si="253"/>
        <v>-2.4779171254689758E-2</v>
      </c>
      <c r="BY94" s="48">
        <f t="shared" si="254"/>
        <v>-2.5060321689814868E-3</v>
      </c>
      <c r="BZ94" s="48">
        <f t="shared" si="255"/>
        <v>2.6351848497296881E-2</v>
      </c>
      <c r="CA94" s="48">
        <f t="shared" si="256"/>
        <v>1.6639212466563746E-2</v>
      </c>
      <c r="CB94" s="48">
        <f t="shared" si="257"/>
        <v>4.2134957015564911E-2</v>
      </c>
      <c r="CC94" s="48">
        <f t="shared" si="258"/>
        <v>5.74090085399519E-2</v>
      </c>
      <c r="CD94" s="48">
        <f t="shared" si="259"/>
        <v>7.6621023616708861E-2</v>
      </c>
      <c r="CE94" s="48">
        <f t="shared" si="260"/>
        <v>8.1081280053972637E-2</v>
      </c>
      <c r="CF94" s="48">
        <f t="shared" si="261"/>
        <v>6.9832063147877044E-2</v>
      </c>
      <c r="CG94" s="48">
        <f t="shared" si="262"/>
        <v>5.747941323906014E-2</v>
      </c>
      <c r="CH94" s="48">
        <f t="shared" si="263"/>
        <v>3.7035289971638408E-2</v>
      </c>
      <c r="CI94" s="48">
        <f t="shared" si="264"/>
        <v>2.8000531283448815E-2</v>
      </c>
      <c r="CJ94" s="48">
        <f t="shared" si="265"/>
        <v>5.8529437935901818E-2</v>
      </c>
      <c r="CK94" s="48">
        <f t="shared" si="266"/>
        <v>4.4879226751515233E-2</v>
      </c>
      <c r="CL94" s="48">
        <f t="shared" si="267"/>
        <v>4.5558546161558189E-2</v>
      </c>
      <c r="CM94" s="48">
        <f t="shared" si="268"/>
        <v>3.7788217386053979E-2</v>
      </c>
      <c r="CN94" s="48">
        <f t="shared" si="269"/>
        <v>3.1887692462242212E-2</v>
      </c>
      <c r="CO94" s="48">
        <f t="shared" si="270"/>
        <v>2.4609912464281791E-2</v>
      </c>
      <c r="CP94" s="48">
        <f t="shared" si="271"/>
        <v>2.3142111010957089E-2</v>
      </c>
      <c r="CQ94" s="48">
        <f t="shared" si="272"/>
        <v>1.5237514123463969E-2</v>
      </c>
      <c r="CR94" s="48">
        <f t="shared" si="273"/>
        <v>3.2736312856664007E-2</v>
      </c>
      <c r="CS94" s="48">
        <f t="shared" si="274"/>
        <v>3.2087107854148034E-2</v>
      </c>
      <c r="CT94" s="48">
        <f t="shared" si="275"/>
        <v>5.3601927520877002E-2</v>
      </c>
      <c r="CU94" s="48">
        <f t="shared" si="276"/>
        <v>7.2077220984140267E-2</v>
      </c>
      <c r="CV94" s="48">
        <f t="shared" si="277"/>
        <v>6.0125574656415992E-2</v>
      </c>
      <c r="CW94" s="48">
        <f t="shared" si="278"/>
        <v>4.4883616145739103E-2</v>
      </c>
      <c r="CX94" s="48">
        <f t="shared" si="279"/>
        <v>2.8662486967453882E-2</v>
      </c>
      <c r="CY94" s="48">
        <f t="shared" si="280"/>
        <v>3.449462214269472E-2</v>
      </c>
      <c r="CZ94" s="48">
        <f t="shared" si="281"/>
        <v>2.2832798255621789E-2</v>
      </c>
      <c r="DA94" s="48">
        <f t="shared" si="282"/>
        <v>2.4675436790689398E-2</v>
      </c>
      <c r="DB94" s="48">
        <f t="shared" si="283"/>
        <v>2.2538507109398198E-2</v>
      </c>
      <c r="DC94" s="48">
        <f t="shared" si="284"/>
        <v>1.5197631757892127E-2</v>
      </c>
      <c r="DD94" s="48">
        <f t="shared" si="285"/>
        <v>2.1907064572148416E-2</v>
      </c>
      <c r="DE94" s="48">
        <f t="shared" si="286"/>
        <v>2.5605228434043115E-2</v>
      </c>
      <c r="DF94" s="48">
        <f t="shared" si="287"/>
        <v>1.0091852683984603E-2</v>
      </c>
      <c r="DG94" s="48">
        <f t="shared" si="288"/>
        <v>-5.1753053970889917E-3</v>
      </c>
      <c r="DH94" s="48">
        <f t="shared" si="289"/>
        <v>-2.0837358086507107E-2</v>
      </c>
      <c r="DI94" s="48">
        <f t="shared" si="290"/>
        <v>-5.9238751019684566E-3</v>
      </c>
      <c r="DJ94" s="48">
        <f t="shared" si="291"/>
        <v>-2.6032625401463116E-3</v>
      </c>
      <c r="DK94" s="48">
        <f t="shared" si="292"/>
        <v>1.0299581713424377E-3</v>
      </c>
      <c r="DL94" s="48">
        <f t="shared" si="293"/>
        <v>1.922189892439663E-2</v>
      </c>
      <c r="DM94" s="48">
        <f t="shared" si="294"/>
        <v>1.8598798897402791E-2</v>
      </c>
      <c r="DN94" s="48">
        <f t="shared" si="295"/>
        <v>2.2424383642811963E-2</v>
      </c>
      <c r="DO94" s="48">
        <f t="shared" si="296"/>
        <v>1.4757830109599857E-2</v>
      </c>
      <c r="DP94" s="48" t="str">
        <f t="shared" si="297"/>
        <v/>
      </c>
      <c r="DQ94" s="48" t="str">
        <f t="shared" si="298"/>
        <v/>
      </c>
      <c r="DR94" s="48" t="str">
        <f t="shared" si="299"/>
        <v/>
      </c>
      <c r="DS94" s="48" t="str">
        <f t="shared" si="300"/>
        <v/>
      </c>
      <c r="DT94" s="48" t="str">
        <f t="shared" si="301"/>
        <v/>
      </c>
      <c r="DU94" s="48" t="str">
        <f t="shared" si="302"/>
        <v/>
      </c>
      <c r="DV94" s="48" t="str">
        <f t="shared" si="303"/>
        <v/>
      </c>
      <c r="DW94" s="48" t="str">
        <f t="shared" si="304"/>
        <v/>
      </c>
      <c r="DX94" s="48" t="str">
        <f t="shared" si="305"/>
        <v/>
      </c>
      <c r="DY94" s="48" t="str">
        <f t="shared" si="306"/>
        <v/>
      </c>
      <c r="DZ94" s="48" t="str">
        <f t="shared" si="307"/>
        <v/>
      </c>
      <c r="EA94" s="48" t="str">
        <f t="shared" si="308"/>
        <v/>
      </c>
      <c r="EB94" s="48" t="str">
        <f t="shared" si="309"/>
        <v/>
      </c>
      <c r="EC94" s="48" t="str">
        <f t="shared" si="310"/>
        <v/>
      </c>
      <c r="ED94" s="48" t="str">
        <f t="shared" si="311"/>
        <v/>
      </c>
      <c r="EE94" s="48" t="str">
        <f t="shared" si="312"/>
        <v/>
      </c>
      <c r="EF94" s="48" t="str">
        <f t="shared" si="313"/>
        <v/>
      </c>
      <c r="EG94" s="48" t="str">
        <f t="shared" si="314"/>
        <v/>
      </c>
      <c r="EH94" s="48" t="str">
        <f t="shared" si="315"/>
        <v/>
      </c>
      <c r="EI94" s="48" t="str">
        <f t="shared" si="316"/>
        <v/>
      </c>
      <c r="EJ94" s="48" t="str">
        <f t="shared" si="317"/>
        <v/>
      </c>
      <c r="EK94" s="48" t="str">
        <f t="shared" si="318"/>
        <v/>
      </c>
      <c r="EL94" s="48" t="str">
        <f t="shared" si="319"/>
        <v/>
      </c>
    </row>
    <row r="95" spans="2:144" x14ac:dyDescent="0.25">
      <c r="B95" s="22">
        <f t="shared" si="195"/>
        <v>4</v>
      </c>
      <c r="C95" s="23" t="str">
        <f t="shared" si="195"/>
        <v>CARNE DE CERDO</v>
      </c>
      <c r="D95" s="24">
        <f t="shared" si="195"/>
        <v>4.7526000000000001E-3</v>
      </c>
      <c r="E95" s="24">
        <f t="shared" si="195"/>
        <v>3.8561900589065778E-2</v>
      </c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 t="str">
        <f t="shared" si="196"/>
        <v/>
      </c>
      <c r="T95" s="48" t="str">
        <f t="shared" si="197"/>
        <v/>
      </c>
      <c r="U95" s="48" t="str">
        <f t="shared" si="198"/>
        <v/>
      </c>
      <c r="V95" s="48" t="str">
        <f t="shared" si="199"/>
        <v/>
      </c>
      <c r="W95" s="48" t="str">
        <f t="shared" si="200"/>
        <v/>
      </c>
      <c r="X95" s="48" t="str">
        <f t="shared" si="201"/>
        <v/>
      </c>
      <c r="Y95" s="48" t="str">
        <f t="shared" si="202"/>
        <v/>
      </c>
      <c r="Z95" s="48">
        <f t="shared" si="203"/>
        <v>5.0888665958702228E-2</v>
      </c>
      <c r="AA95" s="48">
        <f t="shared" si="204"/>
        <v>0.11108378217508541</v>
      </c>
      <c r="AB95" s="48">
        <f t="shared" si="205"/>
        <v>0.10644595659237055</v>
      </c>
      <c r="AC95" s="48">
        <f t="shared" si="206"/>
        <v>0.26193127541380257</v>
      </c>
      <c r="AD95" s="48">
        <f t="shared" si="207"/>
        <v>0.28079293311739772</v>
      </c>
      <c r="AE95" s="48">
        <f t="shared" si="208"/>
        <v>0.17927857113860157</v>
      </c>
      <c r="AF95" s="48">
        <f t="shared" si="209"/>
        <v>0.11878395277417031</v>
      </c>
      <c r="AG95" s="48">
        <f t="shared" si="210"/>
        <v>0.10386743989398695</v>
      </c>
      <c r="AH95" s="48">
        <f t="shared" si="211"/>
        <v>0.13509139030362216</v>
      </c>
      <c r="AI95" s="48">
        <f t="shared" si="212"/>
        <v>0.14807141980799354</v>
      </c>
      <c r="AJ95" s="48">
        <f t="shared" si="213"/>
        <v>0.11578713847526867</v>
      </c>
      <c r="AK95" s="48">
        <f t="shared" si="214"/>
        <v>0.19118957980000983</v>
      </c>
      <c r="AL95" s="48">
        <f t="shared" si="215"/>
        <v>8.1042628700625841E-2</v>
      </c>
      <c r="AM95" s="48">
        <f t="shared" si="216"/>
        <v>5.052427862263964E-2</v>
      </c>
      <c r="AN95" s="48">
        <f t="shared" si="217"/>
        <v>9.4987197218936004E-2</v>
      </c>
      <c r="AO95" s="48">
        <f t="shared" si="218"/>
        <v>9.8824132098071171E-2</v>
      </c>
      <c r="AP95" s="48">
        <f t="shared" si="219"/>
        <v>0.12459391154614075</v>
      </c>
      <c r="AQ95" s="48">
        <f t="shared" si="220"/>
        <v>0.15458194204637521</v>
      </c>
      <c r="AR95" s="48">
        <f t="shared" si="221"/>
        <v>0.1237545078457285</v>
      </c>
      <c r="AS95" s="48">
        <f t="shared" si="222"/>
        <v>0.15052082475332118</v>
      </c>
      <c r="AT95" s="48">
        <f t="shared" si="223"/>
        <v>0.10053526428895054</v>
      </c>
      <c r="AU95" s="48">
        <f t="shared" si="224"/>
        <v>0.12209813053816232</v>
      </c>
      <c r="AV95" s="48">
        <f t="shared" si="225"/>
        <v>1.381629600908485E-2</v>
      </c>
      <c r="AW95" s="48">
        <f t="shared" si="226"/>
        <v>-1.8458109705443704E-4</v>
      </c>
      <c r="AX95" s="48">
        <f t="shared" si="227"/>
        <v>2.1364923601100649E-2</v>
      </c>
      <c r="AY95" s="48">
        <f t="shared" si="228"/>
        <v>8.0263516648734212E-2</v>
      </c>
      <c r="AZ95" s="48">
        <f t="shared" si="229"/>
        <v>0.10589841331629057</v>
      </c>
      <c r="BA95" s="48">
        <f t="shared" si="230"/>
        <v>0.12655576815043812</v>
      </c>
      <c r="BB95" s="48">
        <f t="shared" si="231"/>
        <v>0.13835665520256457</v>
      </c>
      <c r="BC95" s="48">
        <f t="shared" si="232"/>
        <v>9.1722876803749465E-2</v>
      </c>
      <c r="BD95" s="48">
        <f t="shared" si="233"/>
        <v>9.6682338973492099E-2</v>
      </c>
      <c r="BE95" s="48">
        <f t="shared" si="234"/>
        <v>5.3816872382249636E-2</v>
      </c>
      <c r="BF95" s="48">
        <f t="shared" si="235"/>
        <v>-3.1644758431271014E-2</v>
      </c>
      <c r="BG95" s="48">
        <f t="shared" si="236"/>
        <v>-5.6477279081681542E-2</v>
      </c>
      <c r="BH95" s="48">
        <f t="shared" si="237"/>
        <v>1.3899308105751462E-2</v>
      </c>
      <c r="BI95" s="48">
        <f t="shared" si="238"/>
        <v>8.0316136234248603E-4</v>
      </c>
      <c r="BJ95" s="48">
        <f t="shared" si="239"/>
        <v>3.8811207188318431E-3</v>
      </c>
      <c r="BK95" s="48">
        <f t="shared" si="240"/>
        <v>2.2753313645954121E-2</v>
      </c>
      <c r="BL95" s="48">
        <f t="shared" si="241"/>
        <v>1.2843669069871666E-2</v>
      </c>
      <c r="BM95" s="48">
        <f t="shared" si="242"/>
        <v>2.6975721468565084E-3</v>
      </c>
      <c r="BN95" s="48">
        <f t="shared" si="243"/>
        <v>-1.3718564432110836E-2</v>
      </c>
      <c r="BO95" s="48">
        <f t="shared" si="244"/>
        <v>-5.0573156291500609E-2</v>
      </c>
      <c r="BP95" s="48">
        <f t="shared" si="245"/>
        <v>-7.3414411589259876E-2</v>
      </c>
      <c r="BQ95" s="48">
        <f t="shared" si="246"/>
        <v>-4.9020253104697598E-2</v>
      </c>
      <c r="BR95" s="48">
        <f t="shared" si="247"/>
        <v>6.4432986529833203E-2</v>
      </c>
      <c r="BS95" s="48">
        <f t="shared" si="248"/>
        <v>5.6913389879578835E-2</v>
      </c>
      <c r="BT95" s="48">
        <f t="shared" si="249"/>
        <v>4.0184510115380823E-2</v>
      </c>
      <c r="BU95" s="48">
        <f t="shared" si="250"/>
        <v>4.6164527188170545E-2</v>
      </c>
      <c r="BV95" s="48">
        <f t="shared" si="251"/>
        <v>2.2312731837684785E-2</v>
      </c>
      <c r="BW95" s="48">
        <f t="shared" si="252"/>
        <v>7.9388883188842296E-3</v>
      </c>
      <c r="BX95" s="48">
        <f t="shared" si="253"/>
        <v>-1.972547164903582E-3</v>
      </c>
      <c r="BY95" s="48">
        <f t="shared" si="254"/>
        <v>1.5768221494890655E-2</v>
      </c>
      <c r="BZ95" s="48">
        <f t="shared" si="255"/>
        <v>-4.3616615746836507E-3</v>
      </c>
      <c r="CA95" s="48">
        <f t="shared" si="256"/>
        <v>5.3269699737786391E-2</v>
      </c>
      <c r="CB95" s="48">
        <f t="shared" si="257"/>
        <v>9.2380238462928199E-2</v>
      </c>
      <c r="CC95" s="48">
        <f t="shared" si="258"/>
        <v>8.8118857298604469E-2</v>
      </c>
      <c r="CD95" s="48">
        <f t="shared" si="259"/>
        <v>8.1028798921589651E-2</v>
      </c>
      <c r="CE95" s="48">
        <f t="shared" si="260"/>
        <v>9.7495146826904966E-2</v>
      </c>
      <c r="CF95" s="48">
        <f t="shared" si="261"/>
        <v>0.1309042530486777</v>
      </c>
      <c r="CG95" s="48">
        <f t="shared" si="262"/>
        <v>0.16632779765612526</v>
      </c>
      <c r="CH95" s="48">
        <f t="shared" si="263"/>
        <v>0.17236107354440722</v>
      </c>
      <c r="CI95" s="48">
        <f t="shared" si="264"/>
        <v>0.16303713084665294</v>
      </c>
      <c r="CJ95" s="48">
        <f t="shared" si="265"/>
        <v>0.18174133132215942</v>
      </c>
      <c r="CK95" s="48">
        <f t="shared" si="266"/>
        <v>0.15709594789531156</v>
      </c>
      <c r="CL95" s="48">
        <f t="shared" si="267"/>
        <v>0.14157957354352546</v>
      </c>
      <c r="CM95" s="48">
        <f t="shared" si="268"/>
        <v>0.11546013653521947</v>
      </c>
      <c r="CN95" s="48">
        <f t="shared" si="269"/>
        <v>0.11296104158675746</v>
      </c>
      <c r="CO95" s="48">
        <f t="shared" si="270"/>
        <v>9.9054767243998088E-2</v>
      </c>
      <c r="CP95" s="48">
        <f t="shared" si="271"/>
        <v>9.8802996949397315E-2</v>
      </c>
      <c r="CQ95" s="48">
        <f t="shared" si="272"/>
        <v>7.8742298724868265E-2</v>
      </c>
      <c r="CR95" s="48">
        <f t="shared" si="273"/>
        <v>5.3117815517192524E-2</v>
      </c>
      <c r="CS95" s="48">
        <f t="shared" si="274"/>
        <v>3.263706791726606E-2</v>
      </c>
      <c r="CT95" s="48">
        <f t="shared" si="275"/>
        <v>1.9344411193807476E-2</v>
      </c>
      <c r="CU95" s="48">
        <f t="shared" si="276"/>
        <v>-2.1995924623768759E-2</v>
      </c>
      <c r="CV95" s="48">
        <f t="shared" si="277"/>
        <v>-4.9874481842165808E-2</v>
      </c>
      <c r="CW95" s="48">
        <f t="shared" si="278"/>
        <v>-5.3497563338680276E-2</v>
      </c>
      <c r="CX95" s="48">
        <f t="shared" si="279"/>
        <v>-4.6863580007323491E-2</v>
      </c>
      <c r="CY95" s="48">
        <f t="shared" si="280"/>
        <v>-2.8051344546349499E-2</v>
      </c>
      <c r="CZ95" s="48">
        <f t="shared" si="281"/>
        <v>-2.8004450839229866E-2</v>
      </c>
      <c r="DA95" s="48">
        <f t="shared" si="282"/>
        <v>-2.0495913739011828E-2</v>
      </c>
      <c r="DB95" s="48">
        <f t="shared" si="283"/>
        <v>-2.4823413593790811E-2</v>
      </c>
      <c r="DC95" s="48">
        <f t="shared" si="284"/>
        <v>-1.6097412002886613E-2</v>
      </c>
      <c r="DD95" s="48">
        <f t="shared" si="285"/>
        <v>-7.8496640369023485E-3</v>
      </c>
      <c r="DE95" s="48">
        <f t="shared" si="286"/>
        <v>2.206244962383308E-2</v>
      </c>
      <c r="DF95" s="48">
        <f t="shared" si="287"/>
        <v>1.7993109195539869E-2</v>
      </c>
      <c r="DG95" s="48">
        <f t="shared" si="288"/>
        <v>1.3529394201045486E-2</v>
      </c>
      <c r="DH95" s="48">
        <f t="shared" si="289"/>
        <v>2.5246139032127246E-2</v>
      </c>
      <c r="DI95" s="48">
        <f t="shared" si="290"/>
        <v>2.8395454329626979E-2</v>
      </c>
      <c r="DJ95" s="48">
        <f t="shared" si="291"/>
        <v>3.1966210287750485E-2</v>
      </c>
      <c r="DK95" s="48">
        <f t="shared" si="292"/>
        <v>2.2914372018064899E-2</v>
      </c>
      <c r="DL95" s="48">
        <f t="shared" si="293"/>
        <v>3.216538214575082E-2</v>
      </c>
      <c r="DM95" s="48">
        <f t="shared" si="294"/>
        <v>3.1920487490888716E-2</v>
      </c>
      <c r="DN95" s="48">
        <f t="shared" si="295"/>
        <v>2.0296170878693731E-2</v>
      </c>
      <c r="DO95" s="48">
        <f t="shared" si="296"/>
        <v>2.8419925723220718E-2</v>
      </c>
      <c r="DP95" s="48" t="str">
        <f t="shared" si="297"/>
        <v/>
      </c>
      <c r="DQ95" s="48" t="str">
        <f t="shared" si="298"/>
        <v/>
      </c>
      <c r="DR95" s="48" t="str">
        <f t="shared" si="299"/>
        <v/>
      </c>
      <c r="DS95" s="48" t="str">
        <f t="shared" si="300"/>
        <v/>
      </c>
      <c r="DT95" s="48" t="str">
        <f t="shared" si="301"/>
        <v/>
      </c>
      <c r="DU95" s="48" t="str">
        <f t="shared" si="302"/>
        <v/>
      </c>
      <c r="DV95" s="48" t="str">
        <f t="shared" si="303"/>
        <v/>
      </c>
      <c r="DW95" s="48" t="str">
        <f t="shared" si="304"/>
        <v/>
      </c>
      <c r="DX95" s="48" t="str">
        <f t="shared" si="305"/>
        <v/>
      </c>
      <c r="DY95" s="48" t="str">
        <f t="shared" si="306"/>
        <v/>
      </c>
      <c r="DZ95" s="48" t="str">
        <f t="shared" si="307"/>
        <v/>
      </c>
      <c r="EA95" s="48" t="str">
        <f t="shared" si="308"/>
        <v/>
      </c>
      <c r="EB95" s="48" t="str">
        <f t="shared" si="309"/>
        <v/>
      </c>
      <c r="EC95" s="48" t="str">
        <f t="shared" si="310"/>
        <v/>
      </c>
      <c r="ED95" s="48" t="str">
        <f t="shared" si="311"/>
        <v/>
      </c>
      <c r="EE95" s="48" t="str">
        <f t="shared" si="312"/>
        <v/>
      </c>
      <c r="EF95" s="48" t="str">
        <f t="shared" si="313"/>
        <v/>
      </c>
      <c r="EG95" s="48" t="str">
        <f t="shared" si="314"/>
        <v/>
      </c>
      <c r="EH95" s="48" t="str">
        <f t="shared" si="315"/>
        <v/>
      </c>
      <c r="EI95" s="48" t="str">
        <f t="shared" si="316"/>
        <v/>
      </c>
      <c r="EJ95" s="48" t="str">
        <f t="shared" si="317"/>
        <v/>
      </c>
      <c r="EK95" s="48" t="str">
        <f t="shared" si="318"/>
        <v/>
      </c>
      <c r="EL95" s="48" t="str">
        <f t="shared" si="319"/>
        <v/>
      </c>
    </row>
    <row r="96" spans="2:144" x14ac:dyDescent="0.25">
      <c r="B96" s="26">
        <f t="shared" si="195"/>
        <v>5</v>
      </c>
      <c r="C96" s="27" t="str">
        <f t="shared" si="195"/>
        <v>CARNE DE PAVO</v>
      </c>
      <c r="D96" s="28">
        <f t="shared" si="195"/>
        <v>1.0208999999999999E-3</v>
      </c>
      <c r="E96" s="28">
        <f t="shared" si="195"/>
        <v>8.2834331337325352E-3</v>
      </c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 t="str">
        <f t="shared" si="196"/>
        <v/>
      </c>
      <c r="T96" s="49" t="str">
        <f t="shared" si="197"/>
        <v/>
      </c>
      <c r="U96" s="49" t="str">
        <f t="shared" si="198"/>
        <v/>
      </c>
      <c r="V96" s="49" t="str">
        <f t="shared" si="199"/>
        <v/>
      </c>
      <c r="W96" s="49" t="str">
        <f t="shared" si="200"/>
        <v/>
      </c>
      <c r="X96" s="49" t="str">
        <f t="shared" si="201"/>
        <v/>
      </c>
      <c r="Y96" s="49" t="str">
        <f t="shared" si="202"/>
        <v/>
      </c>
      <c r="Z96" s="49" t="str">
        <f t="shared" si="203"/>
        <v/>
      </c>
      <c r="AA96" s="49" t="str">
        <f t="shared" si="204"/>
        <v/>
      </c>
      <c r="AB96" s="49" t="str">
        <f t="shared" si="205"/>
        <v/>
      </c>
      <c r="AC96" s="49" t="str">
        <f t="shared" si="206"/>
        <v/>
      </c>
      <c r="AD96" s="49" t="str">
        <f t="shared" si="207"/>
        <v/>
      </c>
      <c r="AE96" s="49" t="str">
        <f t="shared" si="208"/>
        <v/>
      </c>
      <c r="AF96" s="49" t="str">
        <f t="shared" si="209"/>
        <v/>
      </c>
      <c r="AG96" s="49" t="str">
        <f t="shared" si="210"/>
        <v/>
      </c>
      <c r="AH96" s="49" t="str">
        <f t="shared" si="211"/>
        <v/>
      </c>
      <c r="AI96" s="49" t="str">
        <f t="shared" si="212"/>
        <v/>
      </c>
      <c r="AJ96" s="49" t="str">
        <f t="shared" si="213"/>
        <v/>
      </c>
      <c r="AK96" s="49" t="str">
        <f t="shared" si="214"/>
        <v/>
      </c>
      <c r="AL96" s="49" t="str">
        <f t="shared" si="215"/>
        <v/>
      </c>
      <c r="AM96" s="49" t="str">
        <f t="shared" si="216"/>
        <v/>
      </c>
      <c r="AN96" s="49" t="str">
        <f t="shared" si="217"/>
        <v/>
      </c>
      <c r="AO96" s="49" t="str">
        <f t="shared" si="218"/>
        <v/>
      </c>
      <c r="AP96" s="49" t="str">
        <f t="shared" si="219"/>
        <v/>
      </c>
      <c r="AQ96" s="49">
        <f t="shared" si="220"/>
        <v>0.15943894208085929</v>
      </c>
      <c r="AR96" s="49">
        <f t="shared" si="221"/>
        <v>0.15141676606452514</v>
      </c>
      <c r="AS96" s="49">
        <f t="shared" si="222"/>
        <v>0.15117491483473122</v>
      </c>
      <c r="AT96" s="49">
        <f t="shared" si="223"/>
        <v>0.1865210487065545</v>
      </c>
      <c r="AU96" s="49">
        <f t="shared" si="224"/>
        <v>0.17139918266105991</v>
      </c>
      <c r="AV96" s="49">
        <f t="shared" si="225"/>
        <v>0.14873814151360087</v>
      </c>
      <c r="AW96" s="49">
        <f t="shared" si="226"/>
        <v>0.17551102726364842</v>
      </c>
      <c r="AX96" s="49">
        <f t="shared" si="227"/>
        <v>0.13274535428104528</v>
      </c>
      <c r="AY96" s="49">
        <f t="shared" si="228"/>
        <v>4.3569292141931282E-2</v>
      </c>
      <c r="AZ96" s="49">
        <f t="shared" si="229"/>
        <v>7.3987748479777515E-2</v>
      </c>
      <c r="BA96" s="49">
        <f t="shared" si="230"/>
        <v>0.10561720078220249</v>
      </c>
      <c r="BB96" s="49">
        <f t="shared" si="231"/>
        <v>9.6553343244755618E-2</v>
      </c>
      <c r="BC96" s="49">
        <f t="shared" si="232"/>
        <v>1.4179047540172185E-2</v>
      </c>
      <c r="BD96" s="49">
        <f t="shared" si="233"/>
        <v>2.755217963587997E-2</v>
      </c>
      <c r="BE96" s="49">
        <f t="shared" si="234"/>
        <v>5.3261922895250002E-2</v>
      </c>
      <c r="BF96" s="49">
        <f t="shared" si="235"/>
        <v>4.1384588733484051E-4</v>
      </c>
      <c r="BG96" s="49">
        <f t="shared" si="236"/>
        <v>3.9542891522295953E-2</v>
      </c>
      <c r="BH96" s="49">
        <f t="shared" si="237"/>
        <v>0.12446426631078156</v>
      </c>
      <c r="BI96" s="49">
        <f t="shared" si="238"/>
        <v>8.1449393168198991E-2</v>
      </c>
      <c r="BJ96" s="49">
        <f t="shared" si="239"/>
        <v>4.3040389444683802E-2</v>
      </c>
      <c r="BK96" s="49">
        <f t="shared" si="240"/>
        <v>6.3738325530489748E-2</v>
      </c>
      <c r="BL96" s="49">
        <f t="shared" si="241"/>
        <v>2.4011023236417461E-2</v>
      </c>
      <c r="BM96" s="49">
        <f t="shared" si="242"/>
        <v>5.6818393064387296E-2</v>
      </c>
      <c r="BN96" s="49">
        <f t="shared" si="243"/>
        <v>7.2957984872143777E-2</v>
      </c>
      <c r="BO96" s="49">
        <f t="shared" si="244"/>
        <v>4.6309619551657688E-2</v>
      </c>
      <c r="BP96" s="49">
        <f t="shared" si="245"/>
        <v>4.8354505962003413E-2</v>
      </c>
      <c r="BQ96" s="49">
        <f t="shared" si="246"/>
        <v>-1.8500957189045875E-2</v>
      </c>
      <c r="BR96" s="49">
        <f t="shared" si="247"/>
        <v>1.6317853240448876E-2</v>
      </c>
      <c r="BS96" s="49">
        <f t="shared" si="248"/>
        <v>2.0352532343195229E-2</v>
      </c>
      <c r="BT96" s="49">
        <f t="shared" si="249"/>
        <v>-4.7439574786370842E-2</v>
      </c>
      <c r="BU96" s="49">
        <f t="shared" si="250"/>
        <v>-1.6797697884662455E-2</v>
      </c>
      <c r="BV96" s="49">
        <f t="shared" si="251"/>
        <v>-4.5468416530795697E-2</v>
      </c>
      <c r="BW96" s="49">
        <f t="shared" si="252"/>
        <v>-6.6132843003402497E-3</v>
      </c>
      <c r="BX96" s="49">
        <f t="shared" si="253"/>
        <v>-1.3064431679815525E-2</v>
      </c>
      <c r="BY96" s="49">
        <f t="shared" si="254"/>
        <v>-6.4508364615401437E-2</v>
      </c>
      <c r="BZ96" s="49">
        <f t="shared" si="255"/>
        <v>-7.2680480101301237E-2</v>
      </c>
      <c r="CA96" s="49">
        <f t="shared" si="256"/>
        <v>-4.1128638936814843E-2</v>
      </c>
      <c r="CB96" s="49">
        <f t="shared" si="257"/>
        <v>-1.4108681569579784E-2</v>
      </c>
      <c r="CC96" s="49">
        <f t="shared" si="258"/>
        <v>5.3201410382636372E-2</v>
      </c>
      <c r="CD96" s="49">
        <f t="shared" si="259"/>
        <v>4.8245661367411818E-2</v>
      </c>
      <c r="CE96" s="49">
        <f t="shared" si="260"/>
        <v>4.5985812655208846E-2</v>
      </c>
      <c r="CF96" s="49">
        <f t="shared" si="261"/>
        <v>8.0382857406215313E-2</v>
      </c>
      <c r="CG96" s="49">
        <f t="shared" si="262"/>
        <v>9.7481872517255708E-2</v>
      </c>
      <c r="CH96" s="49">
        <f t="shared" si="263"/>
        <v>0.16419565835806771</v>
      </c>
      <c r="CI96" s="49">
        <f t="shared" si="264"/>
        <v>0.24356773822266553</v>
      </c>
      <c r="CJ96" s="49">
        <f t="shared" si="265"/>
        <v>0.25160265670121462</v>
      </c>
      <c r="CK96" s="49">
        <f t="shared" si="266"/>
        <v>0.26850518651187216</v>
      </c>
      <c r="CL96" s="49">
        <f t="shared" si="267"/>
        <v>0.26348696418637862</v>
      </c>
      <c r="CM96" s="49">
        <f t="shared" si="268"/>
        <v>0.25551507454021061</v>
      </c>
      <c r="CN96" s="49">
        <f t="shared" si="269"/>
        <v>0.23980597908194601</v>
      </c>
      <c r="CO96" s="49">
        <f t="shared" si="270"/>
        <v>0.18620527867118875</v>
      </c>
      <c r="CP96" s="49">
        <f t="shared" si="271"/>
        <v>0.19101638187206316</v>
      </c>
      <c r="CQ96" s="49">
        <f t="shared" si="272"/>
        <v>0.17255681444666116</v>
      </c>
      <c r="CR96" s="49">
        <f t="shared" si="273"/>
        <v>0.12891729747109082</v>
      </c>
      <c r="CS96" s="49">
        <f t="shared" si="274"/>
        <v>0.13253924640594295</v>
      </c>
      <c r="CT96" s="49">
        <f t="shared" si="275"/>
        <v>0.12930682465565124</v>
      </c>
      <c r="CU96" s="49">
        <f t="shared" si="276"/>
        <v>0.11547228711534241</v>
      </c>
      <c r="CV96" s="49">
        <f t="shared" si="277"/>
        <v>0.15060950588371891</v>
      </c>
      <c r="CW96" s="49">
        <f t="shared" si="278"/>
        <v>0.13746876776442041</v>
      </c>
      <c r="CX96" s="49">
        <f t="shared" si="279"/>
        <v>-0.11468749296090852</v>
      </c>
      <c r="CY96" s="49">
        <f t="shared" si="280"/>
        <v>-0.21395524250846731</v>
      </c>
      <c r="CZ96" s="49">
        <f t="shared" si="281"/>
        <v>-0.24398883757429635</v>
      </c>
      <c r="DA96" s="49">
        <f t="shared" si="282"/>
        <v>-0.21996626156843357</v>
      </c>
      <c r="DB96" s="49">
        <f t="shared" si="283"/>
        <v>-0.23608585195067444</v>
      </c>
      <c r="DC96" s="49">
        <f t="shared" si="284"/>
        <v>-0.23745960377984499</v>
      </c>
      <c r="DD96" s="49">
        <f t="shared" si="285"/>
        <v>-0.23355199654709169</v>
      </c>
      <c r="DE96" s="49">
        <f t="shared" si="286"/>
        <v>-0.25278834947919959</v>
      </c>
      <c r="DF96" s="49">
        <f t="shared" si="287"/>
        <v>-0.2772377836442651</v>
      </c>
      <c r="DG96" s="49">
        <f t="shared" si="288"/>
        <v>-0.35375896976572763</v>
      </c>
      <c r="DH96" s="49">
        <f t="shared" si="289"/>
        <v>-0.35897422720009942</v>
      </c>
      <c r="DI96" s="49">
        <f t="shared" si="290"/>
        <v>-0.35802076460083021</v>
      </c>
      <c r="DJ96" s="49">
        <f t="shared" si="291"/>
        <v>-0.19666325307960908</v>
      </c>
      <c r="DK96" s="49">
        <f t="shared" si="292"/>
        <v>-0.10021452175203394</v>
      </c>
      <c r="DL96" s="49">
        <f t="shared" si="293"/>
        <v>-5.753003118562694E-2</v>
      </c>
      <c r="DM96" s="49">
        <f t="shared" si="294"/>
        <v>-9.5618213535763608E-2</v>
      </c>
      <c r="DN96" s="49">
        <f t="shared" si="295"/>
        <v>-3.2067057014278921E-2</v>
      </c>
      <c r="DO96" s="49">
        <f t="shared" si="296"/>
        <v>5.2008206177907024E-3</v>
      </c>
      <c r="DP96" s="49" t="str">
        <f t="shared" si="297"/>
        <v/>
      </c>
      <c r="DQ96" s="49" t="str">
        <f t="shared" si="298"/>
        <v/>
      </c>
      <c r="DR96" s="49" t="str">
        <f t="shared" si="299"/>
        <v/>
      </c>
      <c r="DS96" s="49" t="str">
        <f t="shared" si="300"/>
        <v/>
      </c>
      <c r="DT96" s="49" t="str">
        <f t="shared" si="301"/>
        <v/>
      </c>
      <c r="DU96" s="49" t="str">
        <f t="shared" si="302"/>
        <v/>
      </c>
      <c r="DV96" s="49" t="str">
        <f t="shared" si="303"/>
        <v/>
      </c>
      <c r="DW96" s="49" t="str">
        <f t="shared" si="304"/>
        <v/>
      </c>
      <c r="DX96" s="49" t="str">
        <f t="shared" si="305"/>
        <v/>
      </c>
      <c r="DY96" s="49" t="str">
        <f t="shared" si="306"/>
        <v/>
      </c>
      <c r="DZ96" s="49" t="str">
        <f t="shared" si="307"/>
        <v/>
      </c>
      <c r="EA96" s="49" t="str">
        <f t="shared" si="308"/>
        <v/>
      </c>
      <c r="EB96" s="49" t="str">
        <f t="shared" si="309"/>
        <v/>
      </c>
      <c r="EC96" s="49" t="str">
        <f t="shared" si="310"/>
        <v/>
      </c>
      <c r="ED96" s="49" t="str">
        <f t="shared" si="311"/>
        <v/>
      </c>
      <c r="EE96" s="49" t="str">
        <f t="shared" si="312"/>
        <v/>
      </c>
      <c r="EF96" s="49" t="str">
        <f t="shared" si="313"/>
        <v/>
      </c>
      <c r="EG96" s="49" t="str">
        <f t="shared" si="314"/>
        <v/>
      </c>
      <c r="EH96" s="49" t="str">
        <f t="shared" si="315"/>
        <v/>
      </c>
      <c r="EI96" s="49" t="str">
        <f t="shared" si="316"/>
        <v/>
      </c>
      <c r="EJ96" s="49" t="str">
        <f t="shared" si="317"/>
        <v/>
      </c>
      <c r="EK96" s="49" t="str">
        <f t="shared" si="318"/>
        <v/>
      </c>
      <c r="EL96" s="49" t="str">
        <f t="shared" si="319"/>
        <v/>
      </c>
    </row>
    <row r="97" spans="2:142" x14ac:dyDescent="0.25">
      <c r="B97" s="30">
        <f t="shared" si="195"/>
        <v>6</v>
      </c>
      <c r="C97" s="31" t="str">
        <f t="shared" si="195"/>
        <v>CARNE DE POLLO</v>
      </c>
      <c r="D97" s="32">
        <f t="shared" si="195"/>
        <v>9.6033000000000004E-3</v>
      </c>
      <c r="E97" s="32">
        <f t="shared" si="195"/>
        <v>7.7919770215666248E-2</v>
      </c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 t="str">
        <f t="shared" si="196"/>
        <v/>
      </c>
      <c r="T97" s="50" t="str">
        <f t="shared" si="197"/>
        <v/>
      </c>
      <c r="U97" s="50" t="str">
        <f t="shared" si="198"/>
        <v/>
      </c>
      <c r="V97" s="50" t="str">
        <f t="shared" si="199"/>
        <v/>
      </c>
      <c r="W97" s="50" t="str">
        <f t="shared" si="200"/>
        <v/>
      </c>
      <c r="X97" s="50" t="str">
        <f t="shared" si="201"/>
        <v/>
      </c>
      <c r="Y97" s="50" t="str">
        <f t="shared" si="202"/>
        <v/>
      </c>
      <c r="Z97" s="50">
        <f t="shared" si="203"/>
        <v>-0.16971232076303122</v>
      </c>
      <c r="AA97" s="50">
        <f t="shared" si="204"/>
        <v>-0.1906818741298536</v>
      </c>
      <c r="AB97" s="50">
        <f t="shared" si="205"/>
        <v>-9.8444468798608575E-2</v>
      </c>
      <c r="AC97" s="50">
        <f t="shared" si="206"/>
        <v>-9.4937642423280288E-2</v>
      </c>
      <c r="AD97" s="50">
        <f t="shared" si="207"/>
        <v>-8.0299613423835403E-2</v>
      </c>
      <c r="AE97" s="50">
        <f t="shared" si="208"/>
        <v>-4.7651624795000846E-2</v>
      </c>
      <c r="AF97" s="50">
        <f t="shared" si="209"/>
        <v>-6.6800204540660046E-2</v>
      </c>
      <c r="AG97" s="50">
        <f t="shared" si="210"/>
        <v>-3.8310762344123894E-2</v>
      </c>
      <c r="AH97" s="50">
        <f t="shared" si="211"/>
        <v>-3.7159846611324987E-2</v>
      </c>
      <c r="AI97" s="50">
        <f t="shared" si="212"/>
        <v>-7.2397239957812998E-2</v>
      </c>
      <c r="AJ97" s="50">
        <f t="shared" si="213"/>
        <v>-2.8158973428679235E-2</v>
      </c>
      <c r="AK97" s="50">
        <f t="shared" si="214"/>
        <v>5.031347741919423E-2</v>
      </c>
      <c r="AL97" s="50">
        <f t="shared" si="215"/>
        <v>6.4483864757563625E-2</v>
      </c>
      <c r="AM97" s="50">
        <f t="shared" si="216"/>
        <v>4.0301067950131442E-2</v>
      </c>
      <c r="AN97" s="50">
        <f t="shared" si="217"/>
        <v>2.7445384359510161E-2</v>
      </c>
      <c r="AO97" s="50">
        <f t="shared" si="218"/>
        <v>3.0283040063329381E-2</v>
      </c>
      <c r="AP97" s="50">
        <f t="shared" si="219"/>
        <v>0.10242086343603485</v>
      </c>
      <c r="AQ97" s="50">
        <f t="shared" si="220"/>
        <v>0.10124089169536488</v>
      </c>
      <c r="AR97" s="50">
        <f t="shared" si="221"/>
        <v>9.2686261590661401E-2</v>
      </c>
      <c r="AS97" s="50">
        <f t="shared" si="222"/>
        <v>-1.0129606715657102E-2</v>
      </c>
      <c r="AT97" s="50">
        <f t="shared" si="223"/>
        <v>-0.12487205259906764</v>
      </c>
      <c r="AU97" s="50">
        <f t="shared" si="224"/>
        <v>-0.14392936702455572</v>
      </c>
      <c r="AV97" s="50">
        <f t="shared" si="225"/>
        <v>-0.15804985765744362</v>
      </c>
      <c r="AW97" s="50">
        <f t="shared" si="226"/>
        <v>-0.13209745175712195</v>
      </c>
      <c r="AX97" s="50">
        <f t="shared" si="227"/>
        <v>-0.11018516114412757</v>
      </c>
      <c r="AY97" s="50">
        <f t="shared" si="228"/>
        <v>-6.4144865918304261E-2</v>
      </c>
      <c r="AZ97" s="50">
        <f t="shared" si="229"/>
        <v>-7.8841600382185129E-2</v>
      </c>
      <c r="BA97" s="50">
        <f t="shared" si="230"/>
        <v>-7.1520990970463938E-2</v>
      </c>
      <c r="BB97" s="50">
        <f t="shared" si="231"/>
        <v>-0.12657129370428866</v>
      </c>
      <c r="BC97" s="50">
        <f t="shared" si="232"/>
        <v>-0.16471106491376231</v>
      </c>
      <c r="BD97" s="50">
        <f t="shared" si="233"/>
        <v>-0.1616963354729809</v>
      </c>
      <c r="BE97" s="50">
        <f t="shared" si="234"/>
        <v>-9.6237334944259567E-2</v>
      </c>
      <c r="BF97" s="50">
        <f t="shared" si="235"/>
        <v>-9.7181387621886328E-3</v>
      </c>
      <c r="BG97" s="50">
        <f t="shared" si="236"/>
        <v>-2.6604608901085736E-2</v>
      </c>
      <c r="BH97" s="50">
        <f t="shared" si="237"/>
        <v>-1.7456989370146836E-2</v>
      </c>
      <c r="BI97" s="50">
        <f t="shared" si="238"/>
        <v>-4.1628187123898819E-3</v>
      </c>
      <c r="BJ97" s="50">
        <f t="shared" si="239"/>
        <v>1.6869414539037564E-2</v>
      </c>
      <c r="BK97" s="50">
        <f t="shared" si="240"/>
        <v>1.8096017810853349E-2</v>
      </c>
      <c r="BL97" s="50">
        <f t="shared" si="241"/>
        <v>4.3318305497010545E-2</v>
      </c>
      <c r="BM97" s="50">
        <f t="shared" si="242"/>
        <v>3.2252080511446568E-2</v>
      </c>
      <c r="BN97" s="50">
        <f t="shared" si="243"/>
        <v>2.8807991153785961E-2</v>
      </c>
      <c r="BO97" s="50">
        <f t="shared" si="244"/>
        <v>5.4663375760685806E-2</v>
      </c>
      <c r="BP97" s="50">
        <f t="shared" si="245"/>
        <v>6.1790911883830679E-2</v>
      </c>
      <c r="BQ97" s="50">
        <f t="shared" si="246"/>
        <v>6.680133051472259E-2</v>
      </c>
      <c r="BR97" s="50">
        <f t="shared" si="247"/>
        <v>9.6000951058140993E-2</v>
      </c>
      <c r="BS97" s="50">
        <f t="shared" si="248"/>
        <v>9.1946733646902423E-2</v>
      </c>
      <c r="BT97" s="50">
        <f t="shared" si="249"/>
        <v>9.1499160696676851E-2</v>
      </c>
      <c r="BU97" s="50">
        <f t="shared" si="250"/>
        <v>6.4715412411313622E-2</v>
      </c>
      <c r="BV97" s="50">
        <f t="shared" si="251"/>
        <v>4.2057979992671024E-2</v>
      </c>
      <c r="BW97" s="50">
        <f t="shared" si="252"/>
        <v>4.656165158875547E-2</v>
      </c>
      <c r="BX97" s="50">
        <f t="shared" si="253"/>
        <v>3.6937029714090963E-2</v>
      </c>
      <c r="BY97" s="50">
        <f t="shared" si="254"/>
        <v>4.0386407319211948E-2</v>
      </c>
      <c r="BZ97" s="50">
        <f t="shared" si="255"/>
        <v>5.5471893023234298E-2</v>
      </c>
      <c r="CA97" s="50">
        <f t="shared" si="256"/>
        <v>4.5357127169757039E-2</v>
      </c>
      <c r="CB97" s="50">
        <f t="shared" si="257"/>
        <v>6.3783237762155665E-2</v>
      </c>
      <c r="CC97" s="50">
        <f t="shared" si="258"/>
        <v>5.861439060209328E-2</v>
      </c>
      <c r="CD97" s="50">
        <f t="shared" si="259"/>
        <v>4.791440452142437E-2</v>
      </c>
      <c r="CE97" s="50">
        <f t="shared" si="260"/>
        <v>9.8067936980929638E-2</v>
      </c>
      <c r="CF97" s="50">
        <f t="shared" si="261"/>
        <v>8.7278929395165461E-2</v>
      </c>
      <c r="CG97" s="50">
        <f t="shared" si="262"/>
        <v>0.10253600175767663</v>
      </c>
      <c r="CH97" s="50">
        <f t="shared" si="263"/>
        <v>0.10841481862819236</v>
      </c>
      <c r="CI97" s="50">
        <f t="shared" si="264"/>
        <v>0.10729584370371215</v>
      </c>
      <c r="CJ97" s="50">
        <f t="shared" si="265"/>
        <v>0.11489539566503915</v>
      </c>
      <c r="CK97" s="50">
        <f t="shared" si="266"/>
        <v>0.10307726168392728</v>
      </c>
      <c r="CL97" s="50">
        <f t="shared" si="267"/>
        <v>9.9684755479951592E-2</v>
      </c>
      <c r="CM97" s="50">
        <f t="shared" si="268"/>
        <v>9.4974169569709721E-2</v>
      </c>
      <c r="CN97" s="50">
        <f t="shared" si="269"/>
        <v>7.0422567349091469E-2</v>
      </c>
      <c r="CO97" s="50">
        <f t="shared" si="270"/>
        <v>6.9498961110807667E-2</v>
      </c>
      <c r="CP97" s="50">
        <f t="shared" si="271"/>
        <v>6.0067779311475222E-2</v>
      </c>
      <c r="CQ97" s="50">
        <f t="shared" si="272"/>
        <v>3.58116916304001E-2</v>
      </c>
      <c r="CR97" s="50">
        <f t="shared" si="273"/>
        <v>1.6431813245656457E-2</v>
      </c>
      <c r="CS97" s="50">
        <f t="shared" si="274"/>
        <v>2.9656187099577958E-2</v>
      </c>
      <c r="CT97" s="50">
        <f t="shared" si="275"/>
        <v>0.14600199049047369</v>
      </c>
      <c r="CU97" s="50">
        <f t="shared" si="276"/>
        <v>0.12072891726767532</v>
      </c>
      <c r="CV97" s="50">
        <f t="shared" si="277"/>
        <v>0.10324041951888718</v>
      </c>
      <c r="CW97" s="50">
        <f t="shared" si="278"/>
        <v>8.4075995296491346E-2</v>
      </c>
      <c r="CX97" s="50">
        <f t="shared" si="279"/>
        <v>5.6456714113965134E-2</v>
      </c>
      <c r="CY97" s="50">
        <f t="shared" si="280"/>
        <v>7.0485460570899772E-2</v>
      </c>
      <c r="CZ97" s="50">
        <f t="shared" si="281"/>
        <v>6.948512567887577E-2</v>
      </c>
      <c r="DA97" s="50">
        <f t="shared" si="282"/>
        <v>7.5824483142669763E-2</v>
      </c>
      <c r="DB97" s="50">
        <f t="shared" si="283"/>
        <v>8.2161073152366759E-2</v>
      </c>
      <c r="DC97" s="50">
        <f t="shared" si="284"/>
        <v>6.9748214137078213E-2</v>
      </c>
      <c r="DD97" s="50">
        <f t="shared" si="285"/>
        <v>8.9503953339473696E-2</v>
      </c>
      <c r="DE97" s="50">
        <f t="shared" si="286"/>
        <v>8.5093075805043217E-2</v>
      </c>
      <c r="DF97" s="50">
        <f t="shared" si="287"/>
        <v>-1.9591895603217946E-2</v>
      </c>
      <c r="DG97" s="50">
        <f t="shared" si="288"/>
        <v>-3.9120703905582754E-2</v>
      </c>
      <c r="DH97" s="50">
        <f t="shared" si="289"/>
        <v>-5.6557474055973112E-2</v>
      </c>
      <c r="DI97" s="50">
        <f t="shared" si="290"/>
        <v>-8.8403913904623321E-3</v>
      </c>
      <c r="DJ97" s="50">
        <f t="shared" si="291"/>
        <v>-8.5339579578679325E-3</v>
      </c>
      <c r="DK97" s="50">
        <f t="shared" si="292"/>
        <v>-1.7695774642295437E-2</v>
      </c>
      <c r="DL97" s="50">
        <f t="shared" si="293"/>
        <v>-6.9716684407614693E-3</v>
      </c>
      <c r="DM97" s="50">
        <f t="shared" si="294"/>
        <v>-2.1096491842875764E-3</v>
      </c>
      <c r="DN97" s="50">
        <f t="shared" si="295"/>
        <v>-3.2308193100646365E-3</v>
      </c>
      <c r="DO97" s="50">
        <f t="shared" si="296"/>
        <v>1.2508065363612708E-2</v>
      </c>
      <c r="DP97" s="50" t="str">
        <f t="shared" si="297"/>
        <v/>
      </c>
      <c r="DQ97" s="50" t="str">
        <f t="shared" si="298"/>
        <v/>
      </c>
      <c r="DR97" s="50" t="str">
        <f t="shared" si="299"/>
        <v/>
      </c>
      <c r="DS97" s="50" t="str">
        <f t="shared" si="300"/>
        <v/>
      </c>
      <c r="DT97" s="50" t="str">
        <f t="shared" si="301"/>
        <v/>
      </c>
      <c r="DU97" s="50" t="str">
        <f t="shared" si="302"/>
        <v/>
      </c>
      <c r="DV97" s="50" t="str">
        <f t="shared" si="303"/>
        <v/>
      </c>
      <c r="DW97" s="50" t="str">
        <f t="shared" si="304"/>
        <v/>
      </c>
      <c r="DX97" s="50" t="str">
        <f t="shared" si="305"/>
        <v/>
      </c>
      <c r="DY97" s="50" t="str">
        <f t="shared" si="306"/>
        <v/>
      </c>
      <c r="DZ97" s="50" t="str">
        <f t="shared" si="307"/>
        <v/>
      </c>
      <c r="EA97" s="50" t="str">
        <f t="shared" si="308"/>
        <v/>
      </c>
      <c r="EB97" s="50" t="str">
        <f t="shared" si="309"/>
        <v/>
      </c>
      <c r="EC97" s="50" t="str">
        <f t="shared" si="310"/>
        <v/>
      </c>
      <c r="ED97" s="50" t="str">
        <f t="shared" si="311"/>
        <v/>
      </c>
      <c r="EE97" s="50" t="str">
        <f t="shared" si="312"/>
        <v/>
      </c>
      <c r="EF97" s="50" t="str">
        <f t="shared" si="313"/>
        <v/>
      </c>
      <c r="EG97" s="50" t="str">
        <f t="shared" si="314"/>
        <v/>
      </c>
      <c r="EH97" s="50" t="str">
        <f t="shared" si="315"/>
        <v/>
      </c>
      <c r="EI97" s="50" t="str">
        <f t="shared" si="316"/>
        <v/>
      </c>
      <c r="EJ97" s="50" t="str">
        <f t="shared" si="317"/>
        <v/>
      </c>
      <c r="EK97" s="50" t="str">
        <f t="shared" si="318"/>
        <v/>
      </c>
      <c r="EL97" s="50" t="str">
        <f t="shared" si="319"/>
        <v/>
      </c>
    </row>
    <row r="98" spans="2:142" x14ac:dyDescent="0.25">
      <c r="B98" s="34">
        <f t="shared" si="195"/>
        <v>7</v>
      </c>
      <c r="C98" s="35" t="str">
        <f t="shared" si="195"/>
        <v>ARROZ</v>
      </c>
      <c r="D98" s="36">
        <f t="shared" si="195"/>
        <v>2.0255E-3</v>
      </c>
      <c r="E98" s="36">
        <f t="shared" si="195"/>
        <v>1.6434610453888974E-2</v>
      </c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 t="str">
        <f t="shared" si="196"/>
        <v/>
      </c>
      <c r="T98" s="51" t="str">
        <f t="shared" si="197"/>
        <v/>
      </c>
      <c r="U98" s="51" t="str">
        <f t="shared" si="198"/>
        <v/>
      </c>
      <c r="V98" s="51" t="str">
        <f t="shared" si="199"/>
        <v/>
      </c>
      <c r="W98" s="51" t="str">
        <f t="shared" si="200"/>
        <v/>
      </c>
      <c r="X98" s="51" t="str">
        <f t="shared" si="201"/>
        <v/>
      </c>
      <c r="Y98" s="51" t="str">
        <f t="shared" si="202"/>
        <v/>
      </c>
      <c r="Z98" s="51" t="str">
        <f t="shared" si="203"/>
        <v/>
      </c>
      <c r="AA98" s="51" t="str">
        <f t="shared" si="204"/>
        <v/>
      </c>
      <c r="AB98" s="51" t="str">
        <f t="shared" si="205"/>
        <v/>
      </c>
      <c r="AC98" s="51" t="str">
        <f t="shared" si="206"/>
        <v/>
      </c>
      <c r="AD98" s="51" t="str">
        <f t="shared" si="207"/>
        <v/>
      </c>
      <c r="AE98" s="51" t="str">
        <f t="shared" si="208"/>
        <v/>
      </c>
      <c r="AF98" s="51" t="str">
        <f t="shared" si="209"/>
        <v/>
      </c>
      <c r="AG98" s="51" t="str">
        <f t="shared" si="210"/>
        <v/>
      </c>
      <c r="AH98" s="51" t="str">
        <f t="shared" si="211"/>
        <v/>
      </c>
      <c r="AI98" s="51" t="str">
        <f t="shared" si="212"/>
        <v/>
      </c>
      <c r="AJ98" s="51" t="str">
        <f t="shared" si="213"/>
        <v/>
      </c>
      <c r="AK98" s="51" t="str">
        <f t="shared" si="214"/>
        <v/>
      </c>
      <c r="AL98" s="51" t="str">
        <f t="shared" si="215"/>
        <v/>
      </c>
      <c r="AM98" s="51" t="str">
        <f t="shared" si="216"/>
        <v/>
      </c>
      <c r="AN98" s="51" t="str">
        <f t="shared" si="217"/>
        <v/>
      </c>
      <c r="AO98" s="51" t="str">
        <f t="shared" si="218"/>
        <v/>
      </c>
      <c r="AP98" s="51" t="str">
        <f t="shared" si="219"/>
        <v/>
      </c>
      <c r="AQ98" s="51" t="str">
        <f t="shared" si="220"/>
        <v/>
      </c>
      <c r="AR98" s="51" t="str">
        <f t="shared" si="221"/>
        <v/>
      </c>
      <c r="AS98" s="51" t="str">
        <f t="shared" si="222"/>
        <v/>
      </c>
      <c r="AT98" s="51" t="str">
        <f t="shared" si="223"/>
        <v/>
      </c>
      <c r="AU98" s="51" t="str">
        <f t="shared" si="224"/>
        <v/>
      </c>
      <c r="AV98" s="51">
        <f t="shared" si="225"/>
        <v>-6.1354844964309097E-2</v>
      </c>
      <c r="AW98" s="51">
        <f t="shared" si="226"/>
        <v>-7.1336993595695897E-2</v>
      </c>
      <c r="AX98" s="51" t="str">
        <f t="shared" si="227"/>
        <v/>
      </c>
      <c r="AY98" s="51">
        <f t="shared" si="228"/>
        <v>-8.1441201646080263E-2</v>
      </c>
      <c r="AZ98" s="51" t="str">
        <f t="shared" si="229"/>
        <v/>
      </c>
      <c r="BA98" s="51" t="str">
        <f t="shared" si="230"/>
        <v/>
      </c>
      <c r="BB98" s="51">
        <f t="shared" si="231"/>
        <v>-6.083525180212479E-2</v>
      </c>
      <c r="BC98" s="51" t="str">
        <f t="shared" si="232"/>
        <v/>
      </c>
      <c r="BD98" s="51">
        <f t="shared" si="233"/>
        <v>-4.4452618581206749E-2</v>
      </c>
      <c r="BE98" s="51">
        <f t="shared" si="234"/>
        <v>2.8939821729894177E-3</v>
      </c>
      <c r="BF98" s="51" t="str">
        <f t="shared" si="235"/>
        <v/>
      </c>
      <c r="BG98" s="51" t="str">
        <f t="shared" si="236"/>
        <v/>
      </c>
      <c r="BH98" s="51">
        <f t="shared" si="237"/>
        <v>3.3202182092959553E-2</v>
      </c>
      <c r="BI98" s="51" t="str">
        <f t="shared" si="238"/>
        <v/>
      </c>
      <c r="BJ98" s="51">
        <f t="shared" si="239"/>
        <v>4.6664985444035523E-2</v>
      </c>
      <c r="BK98" s="51">
        <f t="shared" si="240"/>
        <v>8.1081209382759312E-2</v>
      </c>
      <c r="BL98" s="51" t="str">
        <f t="shared" si="241"/>
        <v/>
      </c>
      <c r="BM98" s="51">
        <f t="shared" si="242"/>
        <v>4.1137640488811744E-2</v>
      </c>
      <c r="BN98" s="51">
        <f t="shared" si="243"/>
        <v>9.2850953445740014E-3</v>
      </c>
      <c r="BO98" s="51" t="str">
        <f t="shared" si="244"/>
        <v/>
      </c>
      <c r="BP98" s="51">
        <f t="shared" si="245"/>
        <v>-1.1830573301759073E-2</v>
      </c>
      <c r="BQ98" s="51">
        <f t="shared" si="246"/>
        <v>-4.241136305523141E-3</v>
      </c>
      <c r="BR98" s="51" t="str">
        <f t="shared" si="247"/>
        <v/>
      </c>
      <c r="BS98" s="51">
        <f t="shared" si="248"/>
        <v>-2.0897570442272251E-2</v>
      </c>
      <c r="BT98" s="51">
        <f t="shared" si="249"/>
        <v>-3.771668449350285E-3</v>
      </c>
      <c r="BU98" s="51" t="str">
        <f t="shared" si="250"/>
        <v/>
      </c>
      <c r="BV98" s="51">
        <f t="shared" si="251"/>
        <v>-2.2844512107321191E-2</v>
      </c>
      <c r="BW98" s="51">
        <f t="shared" si="252"/>
        <v>-4.1349435110235477E-2</v>
      </c>
      <c r="BX98" s="51">
        <f t="shared" si="253"/>
        <v>2.009447998612135E-4</v>
      </c>
      <c r="BY98" s="51">
        <f t="shared" si="254"/>
        <v>-1.4473982702564947E-2</v>
      </c>
      <c r="BZ98" s="51">
        <f t="shared" si="255"/>
        <v>-1.5541539834339591E-2</v>
      </c>
      <c r="CA98" s="51">
        <f t="shared" si="256"/>
        <v>-1.188278848352553E-2</v>
      </c>
      <c r="CB98" s="51">
        <f t="shared" si="257"/>
        <v>-9.5344205584669828E-3</v>
      </c>
      <c r="CC98" s="51">
        <f t="shared" si="258"/>
        <v>-1.457856647627076E-2</v>
      </c>
      <c r="CD98" s="51">
        <f t="shared" si="259"/>
        <v>8.2594394010218064E-3</v>
      </c>
      <c r="CE98" s="51">
        <f t="shared" si="260"/>
        <v>3.1470461611530665E-2</v>
      </c>
      <c r="CF98" s="51">
        <f t="shared" si="261"/>
        <v>4.3523620305438548E-2</v>
      </c>
      <c r="CG98" s="51">
        <f t="shared" si="262"/>
        <v>7.7073570974341754E-2</v>
      </c>
      <c r="CH98" s="51">
        <f t="shared" si="263"/>
        <v>7.496669971370129E-2</v>
      </c>
      <c r="CI98" s="51">
        <f t="shared" si="264"/>
        <v>6.665932543438724E-2</v>
      </c>
      <c r="CJ98" s="51">
        <f t="shared" si="265"/>
        <v>5.6920799679677669E-2</v>
      </c>
      <c r="CK98" s="51">
        <f t="shared" si="266"/>
        <v>8.4880802287143675E-2</v>
      </c>
      <c r="CL98" s="51">
        <f t="shared" si="267"/>
        <v>9.4158902655790744E-2</v>
      </c>
      <c r="CM98" s="51">
        <f t="shared" si="268"/>
        <v>0.10788659043015381</v>
      </c>
      <c r="CN98" s="51">
        <f t="shared" si="269"/>
        <v>0.12351266353126711</v>
      </c>
      <c r="CO98" s="51">
        <f t="shared" si="270"/>
        <v>0.12639196138179609</v>
      </c>
      <c r="CP98" s="51">
        <f t="shared" si="271"/>
        <v>0.11062569748509588</v>
      </c>
      <c r="CQ98" s="51">
        <f t="shared" si="272"/>
        <v>0.11763878132378802</v>
      </c>
      <c r="CR98" s="51">
        <f t="shared" si="273"/>
        <v>0.11828263384984439</v>
      </c>
      <c r="CS98" s="51">
        <f t="shared" si="274"/>
        <v>0.12337465440322304</v>
      </c>
      <c r="CT98" s="51">
        <f t="shared" si="275"/>
        <v>0.14076261642799515</v>
      </c>
      <c r="CU98" s="51">
        <f t="shared" si="276"/>
        <v>0.1554657376434383</v>
      </c>
      <c r="CV98" s="51">
        <f t="shared" si="277"/>
        <v>0.15746599969732156</v>
      </c>
      <c r="CW98" s="51">
        <f t="shared" si="278"/>
        <v>0.14427269528052489</v>
      </c>
      <c r="CX98" s="51">
        <f t="shared" si="279"/>
        <v>0.137170466135903</v>
      </c>
      <c r="CY98" s="51">
        <f t="shared" si="280"/>
        <v>0.12815405391674095</v>
      </c>
      <c r="CZ98" s="51">
        <f t="shared" si="281"/>
        <v>0.11340739510746367</v>
      </c>
      <c r="DA98" s="51">
        <f t="shared" si="282"/>
        <v>9.9310253557700845E-2</v>
      </c>
      <c r="DB98" s="51">
        <f t="shared" si="283"/>
        <v>9.4462156690417132E-2</v>
      </c>
      <c r="DC98" s="51">
        <f t="shared" si="284"/>
        <v>5.755629820907382E-2</v>
      </c>
      <c r="DD98" s="51">
        <f t="shared" si="285"/>
        <v>3.608679163130768E-2</v>
      </c>
      <c r="DE98" s="51">
        <f t="shared" si="286"/>
        <v>1.8926142706631177E-2</v>
      </c>
      <c r="DF98" s="51">
        <f t="shared" si="287"/>
        <v>1.7500845611477134E-2</v>
      </c>
      <c r="DG98" s="51">
        <f t="shared" si="288"/>
        <v>1.7837655480242187E-2</v>
      </c>
      <c r="DH98" s="51">
        <f t="shared" si="289"/>
        <v>3.8613369011208931E-3</v>
      </c>
      <c r="DI98" s="51">
        <f t="shared" si="290"/>
        <v>9.115242993558148E-3</v>
      </c>
      <c r="DJ98" s="51">
        <f t="shared" si="291"/>
        <v>2.1477866320983585E-2</v>
      </c>
      <c r="DK98" s="51">
        <f t="shared" si="292"/>
        <v>2.5935703907853824E-2</v>
      </c>
      <c r="DL98" s="51">
        <f t="shared" si="293"/>
        <v>2.9347009388942524E-2</v>
      </c>
      <c r="DM98" s="51">
        <f t="shared" si="294"/>
        <v>3.42552385329562E-2</v>
      </c>
      <c r="DN98" s="51">
        <f t="shared" si="295"/>
        <v>4.2977353870299551E-2</v>
      </c>
      <c r="DO98" s="51">
        <f t="shared" si="296"/>
        <v>5.5143951690207471E-2</v>
      </c>
      <c r="DP98" s="51" t="str">
        <f t="shared" si="297"/>
        <v/>
      </c>
      <c r="DQ98" s="51" t="str">
        <f t="shared" si="298"/>
        <v/>
      </c>
      <c r="DR98" s="51" t="str">
        <f t="shared" si="299"/>
        <v/>
      </c>
      <c r="DS98" s="51" t="str">
        <f t="shared" si="300"/>
        <v/>
      </c>
      <c r="DT98" s="51" t="str">
        <f t="shared" si="301"/>
        <v/>
      </c>
      <c r="DU98" s="51" t="str">
        <f t="shared" si="302"/>
        <v/>
      </c>
      <c r="DV98" s="51" t="str">
        <f t="shared" si="303"/>
        <v/>
      </c>
      <c r="DW98" s="51" t="str">
        <f t="shared" si="304"/>
        <v/>
      </c>
      <c r="DX98" s="51" t="str">
        <f t="shared" si="305"/>
        <v/>
      </c>
      <c r="DY98" s="51" t="str">
        <f t="shared" si="306"/>
        <v/>
      </c>
      <c r="DZ98" s="51" t="str">
        <f t="shared" si="307"/>
        <v/>
      </c>
      <c r="EA98" s="51" t="str">
        <f t="shared" si="308"/>
        <v/>
      </c>
      <c r="EB98" s="51" t="str">
        <f t="shared" si="309"/>
        <v/>
      </c>
      <c r="EC98" s="51" t="str">
        <f t="shared" si="310"/>
        <v/>
      </c>
      <c r="ED98" s="51" t="str">
        <f t="shared" si="311"/>
        <v/>
      </c>
      <c r="EE98" s="51" t="str">
        <f t="shared" si="312"/>
        <v/>
      </c>
      <c r="EF98" s="51" t="str">
        <f t="shared" si="313"/>
        <v/>
      </c>
      <c r="EG98" s="51" t="str">
        <f t="shared" si="314"/>
        <v/>
      </c>
      <c r="EH98" s="51" t="str">
        <f t="shared" si="315"/>
        <v/>
      </c>
      <c r="EI98" s="51" t="str">
        <f t="shared" si="316"/>
        <v/>
      </c>
      <c r="EJ98" s="51" t="str">
        <f t="shared" si="317"/>
        <v/>
      </c>
      <c r="EK98" s="51" t="str">
        <f t="shared" si="318"/>
        <v/>
      </c>
      <c r="EL98" s="51" t="str">
        <f t="shared" si="319"/>
        <v/>
      </c>
    </row>
    <row r="99" spans="2:142" x14ac:dyDescent="0.25">
      <c r="B99" s="34">
        <f t="shared" si="195"/>
        <v>8</v>
      </c>
      <c r="C99" s="35" t="str">
        <f t="shared" si="195"/>
        <v>PASTAS</v>
      </c>
      <c r="D99" s="36">
        <f t="shared" si="195"/>
        <v>2.8993000000000001E-3</v>
      </c>
      <c r="E99" s="36">
        <f t="shared" si="195"/>
        <v>2.3524495723999159E-2</v>
      </c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 t="str">
        <f t="shared" si="196"/>
        <v/>
      </c>
      <c r="T99" s="51" t="str">
        <f t="shared" si="197"/>
        <v/>
      </c>
      <c r="U99" s="51" t="str">
        <f t="shared" si="198"/>
        <v/>
      </c>
      <c r="V99" s="51" t="str">
        <f t="shared" si="199"/>
        <v/>
      </c>
      <c r="W99" s="51" t="str">
        <f t="shared" si="200"/>
        <v/>
      </c>
      <c r="X99" s="51" t="str">
        <f t="shared" si="201"/>
        <v/>
      </c>
      <c r="Y99" s="51" t="str">
        <f t="shared" si="202"/>
        <v/>
      </c>
      <c r="Z99" s="51" t="str">
        <f t="shared" si="203"/>
        <v/>
      </c>
      <c r="AA99" s="51" t="str">
        <f t="shared" si="204"/>
        <v/>
      </c>
      <c r="AB99" s="51" t="str">
        <f t="shared" si="205"/>
        <v/>
      </c>
      <c r="AC99" s="51" t="str">
        <f t="shared" si="206"/>
        <v/>
      </c>
      <c r="AD99" s="51" t="str">
        <f t="shared" si="207"/>
        <v/>
      </c>
      <c r="AE99" s="51" t="str">
        <f t="shared" si="208"/>
        <v/>
      </c>
      <c r="AF99" s="51" t="str">
        <f t="shared" si="209"/>
        <v/>
      </c>
      <c r="AG99" s="51" t="str">
        <f t="shared" si="210"/>
        <v/>
      </c>
      <c r="AH99" s="51" t="str">
        <f t="shared" si="211"/>
        <v/>
      </c>
      <c r="AI99" s="51" t="str">
        <f t="shared" si="212"/>
        <v/>
      </c>
      <c r="AJ99" s="51" t="str">
        <f t="shared" si="213"/>
        <v/>
      </c>
      <c r="AK99" s="51" t="str">
        <f t="shared" si="214"/>
        <v/>
      </c>
      <c r="AL99" s="51" t="str">
        <f t="shared" si="215"/>
        <v/>
      </c>
      <c r="AM99" s="51" t="str">
        <f t="shared" si="216"/>
        <v/>
      </c>
      <c r="AN99" s="51" t="str">
        <f t="shared" si="217"/>
        <v/>
      </c>
      <c r="AO99" s="51" t="str">
        <f t="shared" si="218"/>
        <v/>
      </c>
      <c r="AP99" s="51" t="str">
        <f t="shared" si="219"/>
        <v/>
      </c>
      <c r="AQ99" s="51" t="str">
        <f t="shared" si="220"/>
        <v/>
      </c>
      <c r="AR99" s="51" t="str">
        <f t="shared" si="221"/>
        <v/>
      </c>
      <c r="AS99" s="51" t="str">
        <f t="shared" si="222"/>
        <v/>
      </c>
      <c r="AT99" s="51" t="str">
        <f t="shared" si="223"/>
        <v/>
      </c>
      <c r="AU99" s="51" t="str">
        <f t="shared" si="224"/>
        <v/>
      </c>
      <c r="AV99" s="51" t="str">
        <f t="shared" si="225"/>
        <v/>
      </c>
      <c r="AW99" s="51" t="str">
        <f t="shared" si="226"/>
        <v/>
      </c>
      <c r="AX99" s="51" t="str">
        <f t="shared" si="227"/>
        <v/>
      </c>
      <c r="AY99" s="51" t="str">
        <f t="shared" si="228"/>
        <v/>
      </c>
      <c r="AZ99" s="51" t="str">
        <f t="shared" si="229"/>
        <v/>
      </c>
      <c r="BA99" s="51" t="str">
        <f t="shared" si="230"/>
        <v/>
      </c>
      <c r="BB99" s="51" t="str">
        <f t="shared" si="231"/>
        <v/>
      </c>
      <c r="BC99" s="51" t="str">
        <f t="shared" si="232"/>
        <v/>
      </c>
      <c r="BD99" s="51" t="str">
        <f t="shared" si="233"/>
        <v/>
      </c>
      <c r="BE99" s="51" t="str">
        <f t="shared" si="234"/>
        <v/>
      </c>
      <c r="BF99" s="51" t="str">
        <f t="shared" si="235"/>
        <v/>
      </c>
      <c r="BG99" s="51" t="str">
        <f t="shared" si="236"/>
        <v/>
      </c>
      <c r="BH99" s="51" t="str">
        <f t="shared" si="237"/>
        <v/>
      </c>
      <c r="BI99" s="51" t="str">
        <f t="shared" si="238"/>
        <v/>
      </c>
      <c r="BJ99" s="51" t="str">
        <f t="shared" si="239"/>
        <v/>
      </c>
      <c r="BK99" s="51" t="str">
        <f t="shared" si="240"/>
        <v/>
      </c>
      <c r="BL99" s="51" t="str">
        <f t="shared" si="241"/>
        <v/>
      </c>
      <c r="BM99" s="51" t="str">
        <f t="shared" si="242"/>
        <v/>
      </c>
      <c r="BN99" s="51" t="str">
        <f t="shared" si="243"/>
        <v/>
      </c>
      <c r="BO99" s="51" t="str">
        <f t="shared" si="244"/>
        <v/>
      </c>
      <c r="BP99" s="51" t="str">
        <f t="shared" si="245"/>
        <v/>
      </c>
      <c r="BQ99" s="51" t="str">
        <f t="shared" si="246"/>
        <v/>
      </c>
      <c r="BR99" s="51" t="str">
        <f t="shared" si="247"/>
        <v/>
      </c>
      <c r="BS99" s="51" t="str">
        <f t="shared" si="248"/>
        <v/>
      </c>
      <c r="BT99" s="51" t="str">
        <f t="shared" si="249"/>
        <v/>
      </c>
      <c r="BU99" s="51" t="str">
        <f t="shared" si="250"/>
        <v/>
      </c>
      <c r="BV99" s="51" t="str">
        <f t="shared" si="251"/>
        <v/>
      </c>
      <c r="BW99" s="51" t="str">
        <f t="shared" si="252"/>
        <v/>
      </c>
      <c r="BX99" s="51" t="str">
        <f t="shared" si="253"/>
        <v/>
      </c>
      <c r="BY99" s="51" t="str">
        <f t="shared" si="254"/>
        <v/>
      </c>
      <c r="BZ99" s="51" t="str">
        <f t="shared" si="255"/>
        <v/>
      </c>
      <c r="CA99" s="51">
        <f t="shared" si="256"/>
        <v>-9.3209465201814501E-3</v>
      </c>
      <c r="CB99" s="51">
        <f t="shared" si="257"/>
        <v>-1.8442584076013957E-2</v>
      </c>
      <c r="CC99" s="51">
        <f t="shared" si="258"/>
        <v>-4.3912893850545198E-2</v>
      </c>
      <c r="CD99" s="51">
        <f t="shared" si="259"/>
        <v>-1.467949053908546E-2</v>
      </c>
      <c r="CE99" s="51">
        <f t="shared" si="260"/>
        <v>-6.9748725559729552E-3</v>
      </c>
      <c r="CF99" s="51">
        <f t="shared" si="261"/>
        <v>-3.0182712567112246E-2</v>
      </c>
      <c r="CG99" s="51">
        <f t="shared" si="262"/>
        <v>3.8378312342206122E-2</v>
      </c>
      <c r="CH99" s="51">
        <f t="shared" si="263"/>
        <v>0.10793680841852016</v>
      </c>
      <c r="CI99" s="51">
        <f t="shared" si="264"/>
        <v>0.11242174760317769</v>
      </c>
      <c r="CJ99" s="51">
        <f t="shared" si="265"/>
        <v>7.2631563135953314E-2</v>
      </c>
      <c r="CK99" s="51">
        <f t="shared" si="266"/>
        <v>9.2213672058157004E-2</v>
      </c>
      <c r="CL99" s="51">
        <f t="shared" si="267"/>
        <v>9.3332239651839011E-2</v>
      </c>
      <c r="CM99" s="51">
        <f t="shared" si="268"/>
        <v>8.0296891852024377E-2</v>
      </c>
      <c r="CN99" s="51">
        <f t="shared" si="269"/>
        <v>9.5050954826827461E-2</v>
      </c>
      <c r="CO99" s="51">
        <f t="shared" si="270"/>
        <v>0.12947017542906614</v>
      </c>
      <c r="CP99" s="51">
        <f t="shared" si="271"/>
        <v>0.11920861165460073</v>
      </c>
      <c r="CQ99" s="51">
        <f t="shared" si="272"/>
        <v>0.11060121254999533</v>
      </c>
      <c r="CR99" s="51">
        <f t="shared" si="273"/>
        <v>0.1442961035066197</v>
      </c>
      <c r="CS99" s="51">
        <f t="shared" si="274"/>
        <v>9.8119470410080512E-2</v>
      </c>
      <c r="CT99" s="51">
        <f t="shared" si="275"/>
        <v>7.3969081021145966E-2</v>
      </c>
      <c r="CU99" s="51">
        <f t="shared" si="276"/>
        <v>8.5026170914165311E-2</v>
      </c>
      <c r="CV99" s="51">
        <f t="shared" si="277"/>
        <v>0.10822981860023817</v>
      </c>
      <c r="CW99" s="51">
        <f t="shared" si="278"/>
        <v>9.353423945428907E-2</v>
      </c>
      <c r="CX99" s="51">
        <f t="shared" si="279"/>
        <v>7.1678850771709657E-2</v>
      </c>
      <c r="CY99" s="51">
        <f t="shared" si="280"/>
        <v>7.9970214593707345E-2</v>
      </c>
      <c r="CZ99" s="51">
        <f t="shared" si="281"/>
        <v>8.1638920538536386E-2</v>
      </c>
      <c r="DA99" s="51">
        <f t="shared" si="282"/>
        <v>4.7611436613121505E-2</v>
      </c>
      <c r="DB99" s="51">
        <f t="shared" si="283"/>
        <v>4.5945642409163101E-2</v>
      </c>
      <c r="DC99" s="51">
        <f t="shared" si="284"/>
        <v>1.0954793008905783E-2</v>
      </c>
      <c r="DD99" s="51">
        <f t="shared" si="285"/>
        <v>-8.0217232987397358E-3</v>
      </c>
      <c r="DE99" s="51">
        <f t="shared" si="286"/>
        <v>-5.5617178822496838E-3</v>
      </c>
      <c r="DF99" s="51">
        <f t="shared" si="287"/>
        <v>-9.3771423083782723E-3</v>
      </c>
      <c r="DG99" s="51">
        <f t="shared" si="288"/>
        <v>-2.4668622515434113E-2</v>
      </c>
      <c r="DH99" s="51">
        <f t="shared" si="289"/>
        <v>-2.9853120493623431E-2</v>
      </c>
      <c r="DI99" s="51">
        <f t="shared" si="290"/>
        <v>-3.1460179513341013E-2</v>
      </c>
      <c r="DJ99" s="51">
        <f t="shared" si="291"/>
        <v>-2.0716221919053424E-2</v>
      </c>
      <c r="DK99" s="51">
        <f t="shared" si="292"/>
        <v>-3.0110825049411316E-2</v>
      </c>
      <c r="DL99" s="51">
        <f t="shared" si="293"/>
        <v>-1.2658538224049498E-2</v>
      </c>
      <c r="DM99" s="51">
        <f t="shared" si="294"/>
        <v>-1.0546074038770059E-2</v>
      </c>
      <c r="DN99" s="51">
        <f t="shared" si="295"/>
        <v>-1.8058456870342354E-2</v>
      </c>
      <c r="DO99" s="51">
        <f t="shared" si="296"/>
        <v>1.5493603911320264E-2</v>
      </c>
      <c r="DP99" s="51" t="str">
        <f t="shared" si="297"/>
        <v/>
      </c>
      <c r="DQ99" s="51" t="str">
        <f t="shared" si="298"/>
        <v/>
      </c>
      <c r="DR99" s="51" t="str">
        <f t="shared" si="299"/>
        <v/>
      </c>
      <c r="DS99" s="51" t="str">
        <f t="shared" si="300"/>
        <v/>
      </c>
      <c r="DT99" s="51" t="str">
        <f t="shared" si="301"/>
        <v/>
      </c>
      <c r="DU99" s="51" t="str">
        <f t="shared" si="302"/>
        <v/>
      </c>
      <c r="DV99" s="51" t="str">
        <f t="shared" si="303"/>
        <v/>
      </c>
      <c r="DW99" s="51" t="str">
        <f t="shared" si="304"/>
        <v/>
      </c>
      <c r="DX99" s="51" t="str">
        <f t="shared" si="305"/>
        <v/>
      </c>
      <c r="DY99" s="51" t="str">
        <f t="shared" si="306"/>
        <v/>
      </c>
      <c r="DZ99" s="51" t="str">
        <f t="shared" si="307"/>
        <v/>
      </c>
      <c r="EA99" s="51" t="str">
        <f t="shared" si="308"/>
        <v/>
      </c>
      <c r="EB99" s="51" t="str">
        <f t="shared" si="309"/>
        <v/>
      </c>
      <c r="EC99" s="51" t="str">
        <f t="shared" si="310"/>
        <v/>
      </c>
      <c r="ED99" s="51" t="str">
        <f t="shared" si="311"/>
        <v/>
      </c>
      <c r="EE99" s="51" t="str">
        <f t="shared" si="312"/>
        <v/>
      </c>
      <c r="EF99" s="51" t="str">
        <f t="shared" si="313"/>
        <v/>
      </c>
      <c r="EG99" s="51" t="str">
        <f t="shared" si="314"/>
        <v/>
      </c>
      <c r="EH99" s="51" t="str">
        <f t="shared" si="315"/>
        <v/>
      </c>
      <c r="EI99" s="51" t="str">
        <f t="shared" si="316"/>
        <v/>
      </c>
      <c r="EJ99" s="51" t="str">
        <f t="shared" si="317"/>
        <v/>
      </c>
      <c r="EK99" s="51" t="str">
        <f t="shared" si="318"/>
        <v/>
      </c>
      <c r="EL99" s="51" t="str">
        <f t="shared" si="319"/>
        <v/>
      </c>
    </row>
    <row r="100" spans="2:142" x14ac:dyDescent="0.25">
      <c r="B100" s="34">
        <f t="shared" si="195"/>
        <v>9</v>
      </c>
      <c r="C100" s="35" t="str">
        <f t="shared" si="195"/>
        <v>LIMÓN</v>
      </c>
      <c r="D100" s="36">
        <f t="shared" si="195"/>
        <v>1.0457000000000001E-3</v>
      </c>
      <c r="E100" s="36">
        <f t="shared" si="195"/>
        <v>8.4846567028544553E-3</v>
      </c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 t="str">
        <f t="shared" si="196"/>
        <v/>
      </c>
      <c r="T100" s="51" t="str">
        <f t="shared" si="197"/>
        <v/>
      </c>
      <c r="U100" s="51">
        <f t="shared" si="198"/>
        <v>-0.73843583808526947</v>
      </c>
      <c r="V100" s="51">
        <f t="shared" si="199"/>
        <v>-0.64570553662957875</v>
      </c>
      <c r="W100" s="51">
        <f t="shared" si="200"/>
        <v>-0.55573167401375945</v>
      </c>
      <c r="X100" s="51">
        <f t="shared" si="201"/>
        <v>-0.50040138093875308</v>
      </c>
      <c r="Y100" s="51">
        <f t="shared" si="202"/>
        <v>-0.26856316844352479</v>
      </c>
      <c r="Z100" s="51">
        <f t="shared" si="203"/>
        <v>-0.43046271318001261</v>
      </c>
      <c r="AA100" s="51">
        <f t="shared" si="204"/>
        <v>-0.40591967958769493</v>
      </c>
      <c r="AB100" s="51">
        <f t="shared" si="205"/>
        <v>-0.30698247854699712</v>
      </c>
      <c r="AC100" s="51">
        <f t="shared" si="206"/>
        <v>-0.19179968765831257</v>
      </c>
      <c r="AD100" s="51">
        <f t="shared" si="207"/>
        <v>4.4860180119844051E-2</v>
      </c>
      <c r="AE100" s="51">
        <f t="shared" si="208"/>
        <v>0.34713910567808304</v>
      </c>
      <c r="AF100" s="51">
        <f t="shared" si="209"/>
        <v>0.76917370464147861</v>
      </c>
      <c r="AG100" s="51">
        <f t="shared" si="210"/>
        <v>1.9894448133086429</v>
      </c>
      <c r="AH100" s="51">
        <f t="shared" si="211"/>
        <v>2.4621603372718037</v>
      </c>
      <c r="AI100" s="51">
        <f t="shared" si="212"/>
        <v>1.7070642870211974</v>
      </c>
      <c r="AJ100" s="51">
        <f t="shared" si="213"/>
        <v>1.3133420057536438</v>
      </c>
      <c r="AK100" s="51">
        <f t="shared" si="214"/>
        <v>1.4062252037757088</v>
      </c>
      <c r="AL100" s="51">
        <f t="shared" si="215"/>
        <v>1.6599420461741681</v>
      </c>
      <c r="AM100" s="51">
        <f t="shared" si="216"/>
        <v>1.4765187389646486</v>
      </c>
      <c r="AN100" s="51">
        <f t="shared" si="217"/>
        <v>1.5570539287241592</v>
      </c>
      <c r="AO100" s="51">
        <f t="shared" si="218"/>
        <v>2.1002811404298374</v>
      </c>
      <c r="AP100" s="51">
        <f t="shared" si="219"/>
        <v>1.7310521952835631</v>
      </c>
      <c r="AQ100" s="51">
        <f t="shared" si="220"/>
        <v>0.76423949371888389</v>
      </c>
      <c r="AR100" s="51">
        <f t="shared" si="221"/>
        <v>0.70435565050369031</v>
      </c>
      <c r="AS100" s="51">
        <f t="shared" si="222"/>
        <v>0.45036912456638589</v>
      </c>
      <c r="AT100" s="51">
        <f t="shared" si="223"/>
        <v>5.4958884763630866E-2</v>
      </c>
      <c r="AU100" s="51">
        <f t="shared" si="224"/>
        <v>-5.6296492192561276E-3</v>
      </c>
      <c r="AV100" s="51">
        <f t="shared" si="225"/>
        <v>-8.0409664845444428E-3</v>
      </c>
      <c r="AW100" s="51">
        <f t="shared" si="226"/>
        <v>-0.1035658869003625</v>
      </c>
      <c r="AX100" s="51">
        <f t="shared" si="227"/>
        <v>-5.2147309294194311E-2</v>
      </c>
      <c r="AY100" s="51">
        <f t="shared" si="228"/>
        <v>2.9504068521462035E-2</v>
      </c>
      <c r="AZ100" s="51">
        <f t="shared" si="229"/>
        <v>-0.1592401594820636</v>
      </c>
      <c r="BA100" s="51">
        <f t="shared" si="230"/>
        <v>-0.40701950727863978</v>
      </c>
      <c r="BB100" s="51">
        <f t="shared" si="231"/>
        <v>-0.42980703312537882</v>
      </c>
      <c r="BC100" s="51">
        <f t="shared" si="232"/>
        <v>-0.32953116359865686</v>
      </c>
      <c r="BD100" s="51">
        <f t="shared" si="233"/>
        <v>-0.28641429702152899</v>
      </c>
      <c r="BE100" s="51">
        <f t="shared" si="234"/>
        <v>-0.39224403154001009</v>
      </c>
      <c r="BF100" s="51">
        <f t="shared" si="235"/>
        <v>-0.10405309768507565</v>
      </c>
      <c r="BG100" s="51">
        <f t="shared" si="236"/>
        <v>-0.12478176646191996</v>
      </c>
      <c r="BH100" s="51">
        <f t="shared" si="237"/>
        <v>-8.9930889886653098E-2</v>
      </c>
      <c r="BI100" s="51">
        <f t="shared" si="238"/>
        <v>9.6262157449203523E-2</v>
      </c>
      <c r="BJ100" s="51">
        <f t="shared" si="239"/>
        <v>-0.13098480515046718</v>
      </c>
      <c r="BK100" s="51">
        <f t="shared" si="240"/>
        <v>-0.19939397513884038</v>
      </c>
      <c r="BL100" s="51">
        <f t="shared" si="241"/>
        <v>-0.25575753710617777</v>
      </c>
      <c r="BM100" s="51">
        <f t="shared" si="242"/>
        <v>-0.27333784446952725</v>
      </c>
      <c r="BN100" s="51">
        <f t="shared" si="243"/>
        <v>-0.23440167407064672</v>
      </c>
      <c r="BO100" s="51">
        <f t="shared" si="244"/>
        <v>9.0860843492780674E-2</v>
      </c>
      <c r="BP100" s="51">
        <f t="shared" si="245"/>
        <v>9.1612135958820895E-2</v>
      </c>
      <c r="BQ100" s="51">
        <f t="shared" si="246"/>
        <v>0.27418046957357189</v>
      </c>
      <c r="BR100" s="51">
        <f t="shared" si="247"/>
        <v>1.9512903368151591E-2</v>
      </c>
      <c r="BS100" s="51">
        <f t="shared" si="248"/>
        <v>0.14208628793156608</v>
      </c>
      <c r="BT100" s="51">
        <f t="shared" si="249"/>
        <v>0.17649569136705212</v>
      </c>
      <c r="BU100" s="51">
        <f t="shared" si="250"/>
        <v>7.4767164840869871E-2</v>
      </c>
      <c r="BV100" s="51">
        <f t="shared" si="251"/>
        <v>0.21568809903558428</v>
      </c>
      <c r="BW100" s="51">
        <f t="shared" si="252"/>
        <v>0.33552546697426866</v>
      </c>
      <c r="BX100" s="51">
        <f t="shared" si="253"/>
        <v>0.49715979280952438</v>
      </c>
      <c r="BY100" s="51">
        <f t="shared" si="254"/>
        <v>0.580839485261613</v>
      </c>
      <c r="BZ100" s="51">
        <f t="shared" si="255"/>
        <v>0.67011009177176439</v>
      </c>
      <c r="CA100" s="51">
        <f t="shared" si="256"/>
        <v>0.82347455274835868</v>
      </c>
      <c r="CB100" s="51">
        <f t="shared" si="257"/>
        <v>0.63372006896714939</v>
      </c>
      <c r="CC100" s="51">
        <f t="shared" si="258"/>
        <v>0.45570322231072025</v>
      </c>
      <c r="CD100" s="51">
        <f t="shared" si="259"/>
        <v>0.69606570635346232</v>
      </c>
      <c r="CE100" s="51">
        <f t="shared" si="260"/>
        <v>0.6690908042072079</v>
      </c>
      <c r="CF100" s="51">
        <f t="shared" si="261"/>
        <v>0.79393062512898838</v>
      </c>
      <c r="CG100" s="51">
        <f t="shared" si="262"/>
        <v>0.85897892340331694</v>
      </c>
      <c r="CH100" s="51">
        <f t="shared" si="263"/>
        <v>0.98456336209565021</v>
      </c>
      <c r="CI100" s="51">
        <f t="shared" si="264"/>
        <v>0.66331666237496645</v>
      </c>
      <c r="CJ100" s="51">
        <f t="shared" si="265"/>
        <v>0.61162033675001881</v>
      </c>
      <c r="CK100" s="51">
        <f t="shared" si="266"/>
        <v>1.022572792010676</v>
      </c>
      <c r="CL100" s="51">
        <f t="shared" si="267"/>
        <v>0.93445369198173966</v>
      </c>
      <c r="CM100" s="51">
        <f t="shared" si="268"/>
        <v>0.27470100716454016</v>
      </c>
      <c r="CN100" s="51">
        <f t="shared" si="269"/>
        <v>0.13448081132918865</v>
      </c>
      <c r="CO100" s="51">
        <f t="shared" si="270"/>
        <v>2.3752961693930263E-3</v>
      </c>
      <c r="CP100" s="51">
        <f t="shared" si="271"/>
        <v>-8.1582832544365713E-2</v>
      </c>
      <c r="CQ100" s="51">
        <f t="shared" si="272"/>
        <v>-0.11789659800703911</v>
      </c>
      <c r="CR100" s="51">
        <f t="shared" si="273"/>
        <v>-0.13819700128254764</v>
      </c>
      <c r="CS100" s="51">
        <f t="shared" si="274"/>
        <v>-0.23307052237419335</v>
      </c>
      <c r="CT100" s="51">
        <f t="shared" si="275"/>
        <v>-0.28363428019261094</v>
      </c>
      <c r="CU100" s="51">
        <f t="shared" si="276"/>
        <v>-0.31459028293987135</v>
      </c>
      <c r="CV100" s="51">
        <f t="shared" si="277"/>
        <v>-0.3251106371683129</v>
      </c>
      <c r="CW100" s="51">
        <f t="shared" si="278"/>
        <v>-0.52184715598239428</v>
      </c>
      <c r="CX100" s="51">
        <f t="shared" si="279"/>
        <v>-0.53620671028957179</v>
      </c>
      <c r="CY100" s="51">
        <f t="shared" si="280"/>
        <v>-0.46103376245172412</v>
      </c>
      <c r="CZ100" s="51">
        <f t="shared" si="281"/>
        <v>-0.35748342455433513</v>
      </c>
      <c r="DA100" s="51">
        <f t="shared" si="282"/>
        <v>-0.18472300667230157</v>
      </c>
      <c r="DB100" s="51">
        <f t="shared" si="283"/>
        <v>-0.16627176275775035</v>
      </c>
      <c r="DC100" s="51">
        <f t="shared" si="284"/>
        <v>2.3252622367023079E-2</v>
      </c>
      <c r="DD100" s="51">
        <f t="shared" si="285"/>
        <v>0.14464965682312592</v>
      </c>
      <c r="DE100" s="51">
        <f t="shared" si="286"/>
        <v>0.30032798908776126</v>
      </c>
      <c r="DF100" s="51">
        <f t="shared" si="287"/>
        <v>0.28416881655076232</v>
      </c>
      <c r="DG100" s="51">
        <f t="shared" si="288"/>
        <v>0.29350945558207631</v>
      </c>
      <c r="DH100" s="51">
        <f t="shared" si="289"/>
        <v>0.39041739436002776</v>
      </c>
      <c r="DI100" s="51">
        <f t="shared" si="290"/>
        <v>1.0693417931494871</v>
      </c>
      <c r="DJ100" s="51">
        <f t="shared" si="291"/>
        <v>1.1529849736472317</v>
      </c>
      <c r="DK100" s="51">
        <f t="shared" si="292"/>
        <v>0.98531852192519609</v>
      </c>
      <c r="DL100" s="51">
        <f t="shared" si="293"/>
        <v>1.0940624999287509</v>
      </c>
      <c r="DM100" s="51">
        <f t="shared" si="294"/>
        <v>0.73534627004947262</v>
      </c>
      <c r="DN100" s="51">
        <f t="shared" si="295"/>
        <v>0.37626468752047004</v>
      </c>
      <c r="DO100" s="51">
        <f t="shared" si="296"/>
        <v>0.37890513208276921</v>
      </c>
      <c r="DP100" s="51" t="str">
        <f t="shared" si="297"/>
        <v/>
      </c>
      <c r="DQ100" s="51" t="str">
        <f t="shared" si="298"/>
        <v/>
      </c>
      <c r="DR100" s="51" t="str">
        <f t="shared" si="299"/>
        <v/>
      </c>
      <c r="DS100" s="51" t="str">
        <f t="shared" si="300"/>
        <v/>
      </c>
      <c r="DT100" s="51" t="str">
        <f t="shared" si="301"/>
        <v/>
      </c>
      <c r="DU100" s="51" t="str">
        <f t="shared" si="302"/>
        <v/>
      </c>
      <c r="DV100" s="51" t="str">
        <f t="shared" si="303"/>
        <v/>
      </c>
      <c r="DW100" s="51" t="str">
        <f t="shared" si="304"/>
        <v/>
      </c>
      <c r="DX100" s="51" t="str">
        <f t="shared" si="305"/>
        <v/>
      </c>
      <c r="DY100" s="51" t="str">
        <f t="shared" si="306"/>
        <v/>
      </c>
      <c r="DZ100" s="51" t="str">
        <f t="shared" si="307"/>
        <v/>
      </c>
      <c r="EA100" s="51" t="str">
        <f t="shared" si="308"/>
        <v/>
      </c>
      <c r="EB100" s="51" t="str">
        <f t="shared" si="309"/>
        <v/>
      </c>
      <c r="EC100" s="51" t="str">
        <f t="shared" si="310"/>
        <v/>
      </c>
      <c r="ED100" s="51" t="str">
        <f t="shared" si="311"/>
        <v/>
      </c>
      <c r="EE100" s="51" t="str">
        <f t="shared" si="312"/>
        <v/>
      </c>
      <c r="EF100" s="51" t="str">
        <f t="shared" si="313"/>
        <v/>
      </c>
      <c r="EG100" s="51" t="str">
        <f t="shared" si="314"/>
        <v/>
      </c>
      <c r="EH100" s="51" t="str">
        <f t="shared" si="315"/>
        <v/>
      </c>
      <c r="EI100" s="51" t="str">
        <f t="shared" si="316"/>
        <v/>
      </c>
      <c r="EJ100" s="51" t="str">
        <f t="shared" si="317"/>
        <v/>
      </c>
      <c r="EK100" s="51" t="str">
        <f t="shared" si="318"/>
        <v/>
      </c>
      <c r="EL100" s="51" t="str">
        <f t="shared" si="319"/>
        <v/>
      </c>
    </row>
    <row r="101" spans="2:142" x14ac:dyDescent="0.25">
      <c r="B101" s="38">
        <f t="shared" si="195"/>
        <v>10</v>
      </c>
      <c r="C101" s="39" t="str">
        <f t="shared" si="195"/>
        <v>MANZANA</v>
      </c>
      <c r="D101" s="40">
        <f t="shared" si="195"/>
        <v>9.812E-4</v>
      </c>
      <c r="E101" s="40">
        <f t="shared" si="195"/>
        <v>7.961313146065593E-3</v>
      </c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 t="str">
        <f t="shared" si="196"/>
        <v/>
      </c>
      <c r="T101" s="52" t="str">
        <f t="shared" si="197"/>
        <v/>
      </c>
      <c r="U101" s="52">
        <f t="shared" si="198"/>
        <v>-9.5428316374094213E-2</v>
      </c>
      <c r="V101" s="52">
        <f t="shared" si="199"/>
        <v>1.4269682527152883E-2</v>
      </c>
      <c r="W101" s="52">
        <f t="shared" si="200"/>
        <v>0.16766156488795825</v>
      </c>
      <c r="X101" s="52">
        <f t="shared" si="201"/>
        <v>2.6678329536031997E-2</v>
      </c>
      <c r="Y101" s="52">
        <f t="shared" si="202"/>
        <v>-6.9223879058275095E-2</v>
      </c>
      <c r="Z101" s="52">
        <f t="shared" si="203"/>
        <v>-9.9668294012359659E-2</v>
      </c>
      <c r="AA101" s="52">
        <f t="shared" si="204"/>
        <v>-5.2066822198791884E-2</v>
      </c>
      <c r="AB101" s="52">
        <f t="shared" si="205"/>
        <v>8.7635953369334718E-2</v>
      </c>
      <c r="AC101" s="52">
        <f t="shared" si="206"/>
        <v>0.27308782726388126</v>
      </c>
      <c r="AD101" s="52">
        <f t="shared" si="207"/>
        <v>0.49819545635862483</v>
      </c>
      <c r="AE101" s="52" t="str">
        <f t="shared" si="208"/>
        <v/>
      </c>
      <c r="AF101" s="52" t="str">
        <f t="shared" si="209"/>
        <v/>
      </c>
      <c r="AG101" s="52">
        <f t="shared" si="210"/>
        <v>0.15985301439564448</v>
      </c>
      <c r="AH101" s="52">
        <f t="shared" si="211"/>
        <v>7.3992878469044898E-2</v>
      </c>
      <c r="AI101" s="52">
        <f t="shared" si="212"/>
        <v>-9.7695443294753659E-2</v>
      </c>
      <c r="AJ101" s="52">
        <f t="shared" si="213"/>
        <v>-0.10441683357018616</v>
      </c>
      <c r="AK101" s="52">
        <f t="shared" si="214"/>
        <v>-2.1341317918941449E-3</v>
      </c>
      <c r="AL101" s="52">
        <f t="shared" si="215"/>
        <v>0.12658400041885276</v>
      </c>
      <c r="AM101" s="52">
        <f t="shared" si="216"/>
        <v>2.5498074328110798E-2</v>
      </c>
      <c r="AN101" s="52">
        <f t="shared" si="217"/>
        <v>-0.13326101275700897</v>
      </c>
      <c r="AO101" s="52">
        <f t="shared" si="218"/>
        <v>-0.2676234870916453</v>
      </c>
      <c r="AP101" s="52">
        <f t="shared" si="219"/>
        <v>-0.41328133416129398</v>
      </c>
      <c r="AQ101" s="52" t="str">
        <f t="shared" si="220"/>
        <v/>
      </c>
      <c r="AR101" s="52" t="str">
        <f t="shared" si="221"/>
        <v/>
      </c>
      <c r="AS101" s="52">
        <f t="shared" si="222"/>
        <v>-1.5719906349860091E-2</v>
      </c>
      <c r="AT101" s="52">
        <f t="shared" si="223"/>
        <v>0.25324310370591929</v>
      </c>
      <c r="AU101" s="52">
        <f t="shared" si="224"/>
        <v>0.19931889196953945</v>
      </c>
      <c r="AV101" s="52">
        <f t="shared" si="225"/>
        <v>0.16993083969463685</v>
      </c>
      <c r="AW101" s="52">
        <f t="shared" si="226"/>
        <v>0.16115532459282456</v>
      </c>
      <c r="AX101" s="52">
        <f t="shared" si="227"/>
        <v>9.2957629166784406E-2</v>
      </c>
      <c r="AY101" s="52">
        <f t="shared" si="228"/>
        <v>0.24725364413902473</v>
      </c>
      <c r="AZ101" s="52">
        <f t="shared" si="229"/>
        <v>0.37526825711913747</v>
      </c>
      <c r="BA101" s="52">
        <f t="shared" si="230"/>
        <v>0.53180450218492004</v>
      </c>
      <c r="BB101" s="52" t="str">
        <f t="shared" si="231"/>
        <v/>
      </c>
      <c r="BC101" s="52" t="str">
        <f t="shared" si="232"/>
        <v/>
      </c>
      <c r="BD101" s="52" t="str">
        <f t="shared" si="233"/>
        <v/>
      </c>
      <c r="BE101" s="52">
        <f t="shared" si="234"/>
        <v>0.2275323820296058</v>
      </c>
      <c r="BF101" s="52">
        <f t="shared" si="235"/>
        <v>2.5931228605602819E-2</v>
      </c>
      <c r="BG101" s="52">
        <f t="shared" si="236"/>
        <v>-3.4177953787192239E-3</v>
      </c>
      <c r="BH101" s="52">
        <f t="shared" si="237"/>
        <v>2.6528696813790553E-2</v>
      </c>
      <c r="BI101" s="52">
        <f t="shared" si="238"/>
        <v>3.9371996392258746E-2</v>
      </c>
      <c r="BJ101" s="52">
        <f t="shared" si="239"/>
        <v>3.5601899466084941E-2</v>
      </c>
      <c r="BK101" s="52">
        <f t="shared" si="240"/>
        <v>0.1181969197242998</v>
      </c>
      <c r="BL101" s="52">
        <f t="shared" si="241"/>
        <v>3.2387104828317526E-2</v>
      </c>
      <c r="BM101" s="52">
        <f t="shared" si="242"/>
        <v>-6.0850984084165227E-2</v>
      </c>
      <c r="BN101" s="52" t="str">
        <f t="shared" si="243"/>
        <v/>
      </c>
      <c r="BO101" s="52" t="str">
        <f t="shared" si="244"/>
        <v/>
      </c>
      <c r="BP101" s="52" t="str">
        <f t="shared" si="245"/>
        <v/>
      </c>
      <c r="BQ101" s="52">
        <f t="shared" si="246"/>
        <v>0.25431008372704578</v>
      </c>
      <c r="BR101" s="52">
        <f t="shared" si="247"/>
        <v>0.17217239162338638</v>
      </c>
      <c r="BS101" s="52">
        <f t="shared" si="248"/>
        <v>0.17479169604237166</v>
      </c>
      <c r="BT101" s="52">
        <f t="shared" si="249"/>
        <v>0.13272012355876139</v>
      </c>
      <c r="BU101" s="52">
        <f t="shared" si="250"/>
        <v>0.152984388755254</v>
      </c>
      <c r="BV101" s="52">
        <f t="shared" si="251"/>
        <v>0.14417942265394146</v>
      </c>
      <c r="BW101" s="52">
        <f t="shared" si="252"/>
        <v>3.1426133807817447E-2</v>
      </c>
      <c r="BX101" s="52">
        <f t="shared" si="253"/>
        <v>7.8725599351177067E-3</v>
      </c>
      <c r="BY101" s="52">
        <f t="shared" si="254"/>
        <v>3.1944070547045067E-2</v>
      </c>
      <c r="BZ101" s="52" t="str">
        <f t="shared" si="255"/>
        <v/>
      </c>
      <c r="CA101" s="52" t="str">
        <f t="shared" si="256"/>
        <v/>
      </c>
      <c r="CB101" s="52" t="str">
        <f t="shared" si="257"/>
        <v/>
      </c>
      <c r="CC101" s="52">
        <f t="shared" si="258"/>
        <v>7.4408111354788975E-2</v>
      </c>
      <c r="CD101" s="52">
        <f t="shared" si="259"/>
        <v>0.16665168490136595</v>
      </c>
      <c r="CE101" s="52">
        <f t="shared" si="260"/>
        <v>0.14257134518883685</v>
      </c>
      <c r="CF101" s="52">
        <f t="shared" si="261"/>
        <v>0.17859058019667495</v>
      </c>
      <c r="CG101" s="52">
        <f t="shared" si="262"/>
        <v>0.12813311633073798</v>
      </c>
      <c r="CH101" s="52">
        <f t="shared" si="263"/>
        <v>8.7775329389905066E-2</v>
      </c>
      <c r="CI101" s="52">
        <f t="shared" si="264"/>
        <v>5.2561820522710745E-2</v>
      </c>
      <c r="CJ101" s="52">
        <f t="shared" si="265"/>
        <v>8.6732055887500437E-2</v>
      </c>
      <c r="CK101" s="52">
        <f t="shared" si="266"/>
        <v>7.5329177113081736E-2</v>
      </c>
      <c r="CL101" s="52">
        <f t="shared" si="267"/>
        <v>0.13973569900087046</v>
      </c>
      <c r="CM101" s="52">
        <f t="shared" si="268"/>
        <v>4.8948376142239347E-2</v>
      </c>
      <c r="CN101" s="52">
        <f t="shared" si="269"/>
        <v>2.6428362687321405E-2</v>
      </c>
      <c r="CO101" s="52">
        <f t="shared" si="270"/>
        <v>3.8160404393292824E-2</v>
      </c>
      <c r="CP101" s="52">
        <f t="shared" si="271"/>
        <v>5.5970616222054126E-3</v>
      </c>
      <c r="CQ101" s="52">
        <f t="shared" si="272"/>
        <v>9.5893769608403456E-2</v>
      </c>
      <c r="CR101" s="52">
        <f t="shared" si="273"/>
        <v>1.879178359152478E-2</v>
      </c>
      <c r="CS101" s="52">
        <f t="shared" si="274"/>
        <v>-1.2239827352322652E-2</v>
      </c>
      <c r="CT101" s="52">
        <f t="shared" si="275"/>
        <v>4.0823420668299804E-2</v>
      </c>
      <c r="CU101" s="52">
        <f t="shared" si="276"/>
        <v>6.9812704778165369E-2</v>
      </c>
      <c r="CV101" s="52">
        <f t="shared" si="277"/>
        <v>0.15685807141278918</v>
      </c>
      <c r="CW101" s="52">
        <f t="shared" si="278"/>
        <v>0.3007289964604738</v>
      </c>
      <c r="CX101" s="52">
        <f t="shared" si="279"/>
        <v>0.25320025191811446</v>
      </c>
      <c r="CY101" s="52" t="str">
        <f t="shared" si="280"/>
        <v/>
      </c>
      <c r="CZ101" s="52" t="str">
        <f t="shared" si="281"/>
        <v/>
      </c>
      <c r="DA101" s="52">
        <f t="shared" si="282"/>
        <v>4.5093085635823815E-2</v>
      </c>
      <c r="DB101" s="52">
        <f t="shared" si="283"/>
        <v>-2.686417487104642E-2</v>
      </c>
      <c r="DC101" s="52">
        <f t="shared" si="284"/>
        <v>9.5372611350772463E-3</v>
      </c>
      <c r="DD101" s="52">
        <f t="shared" si="285"/>
        <v>7.3898586542642253E-2</v>
      </c>
      <c r="DE101" s="52">
        <f t="shared" si="286"/>
        <v>8.307228099112729E-2</v>
      </c>
      <c r="DF101" s="52">
        <f t="shared" si="287"/>
        <v>0.11475065365495274</v>
      </c>
      <c r="DG101" s="52">
        <f t="shared" si="288"/>
        <v>0.1368193619549527</v>
      </c>
      <c r="DH101" s="52">
        <f t="shared" si="289"/>
        <v>9.4305024807306292E-2</v>
      </c>
      <c r="DI101" s="52">
        <f t="shared" si="290"/>
        <v>7.6407656239376731E-3</v>
      </c>
      <c r="DJ101" s="52">
        <f t="shared" si="291"/>
        <v>-1.6356434566879852E-3</v>
      </c>
      <c r="DK101" s="52" t="str">
        <f t="shared" si="292"/>
        <v/>
      </c>
      <c r="DL101" s="52" t="str">
        <f t="shared" si="293"/>
        <v/>
      </c>
      <c r="DM101" s="52">
        <f t="shared" si="294"/>
        <v>6.2311561779913704E-2</v>
      </c>
      <c r="DN101" s="52">
        <f t="shared" si="295"/>
        <v>0.12768987026459455</v>
      </c>
      <c r="DO101" s="52">
        <f t="shared" si="296"/>
        <v>8.5934289475505521E-2</v>
      </c>
      <c r="DP101" s="52" t="str">
        <f t="shared" si="297"/>
        <v/>
      </c>
      <c r="DQ101" s="52" t="str">
        <f t="shared" si="298"/>
        <v/>
      </c>
      <c r="DR101" s="52" t="str">
        <f t="shared" si="299"/>
        <v/>
      </c>
      <c r="DS101" s="52" t="str">
        <f t="shared" si="300"/>
        <v/>
      </c>
      <c r="DT101" s="52" t="str">
        <f t="shared" si="301"/>
        <v/>
      </c>
      <c r="DU101" s="52" t="str">
        <f t="shared" si="302"/>
        <v/>
      </c>
      <c r="DV101" s="52" t="str">
        <f t="shared" si="303"/>
        <v/>
      </c>
      <c r="DW101" s="52" t="str">
        <f t="shared" si="304"/>
        <v/>
      </c>
      <c r="DX101" s="52" t="str">
        <f t="shared" si="305"/>
        <v/>
      </c>
      <c r="DY101" s="52" t="str">
        <f t="shared" si="306"/>
        <v/>
      </c>
      <c r="DZ101" s="52" t="str">
        <f t="shared" si="307"/>
        <v/>
      </c>
      <c r="EA101" s="52" t="str">
        <f t="shared" si="308"/>
        <v/>
      </c>
      <c r="EB101" s="52" t="str">
        <f t="shared" si="309"/>
        <v/>
      </c>
      <c r="EC101" s="52" t="str">
        <f t="shared" si="310"/>
        <v/>
      </c>
      <c r="ED101" s="52" t="str">
        <f t="shared" si="311"/>
        <v/>
      </c>
      <c r="EE101" s="52" t="str">
        <f t="shared" si="312"/>
        <v/>
      </c>
      <c r="EF101" s="52" t="str">
        <f t="shared" si="313"/>
        <v/>
      </c>
      <c r="EG101" s="52" t="str">
        <f t="shared" si="314"/>
        <v/>
      </c>
      <c r="EH101" s="52" t="str">
        <f t="shared" si="315"/>
        <v/>
      </c>
      <c r="EI101" s="52" t="str">
        <f t="shared" si="316"/>
        <v/>
      </c>
      <c r="EJ101" s="52" t="str">
        <f t="shared" si="317"/>
        <v/>
      </c>
      <c r="EK101" s="52" t="str">
        <f t="shared" si="318"/>
        <v/>
      </c>
      <c r="EL101" s="52" t="str">
        <f t="shared" si="319"/>
        <v/>
      </c>
    </row>
    <row r="102" spans="2:142" x14ac:dyDescent="0.25">
      <c r="B102" s="18">
        <f t="shared" si="195"/>
        <v>11</v>
      </c>
      <c r="C102" s="19" t="str">
        <f t="shared" si="195"/>
        <v>NARANJA</v>
      </c>
      <c r="D102" s="20">
        <f t="shared" si="195"/>
        <v>9.2460000000000003E-4</v>
      </c>
      <c r="E102" s="20">
        <f t="shared" si="195"/>
        <v>7.5020690326663758E-3</v>
      </c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 t="str">
        <f t="shared" si="196"/>
        <v/>
      </c>
      <c r="T102" s="47" t="str">
        <f t="shared" si="197"/>
        <v/>
      </c>
      <c r="U102" s="47">
        <f t="shared" si="198"/>
        <v>-0.1907550498746472</v>
      </c>
      <c r="V102" s="47">
        <f t="shared" si="199"/>
        <v>-0.15891195991736051</v>
      </c>
      <c r="W102" s="47">
        <f t="shared" si="200"/>
        <v>-0.18472433927545762</v>
      </c>
      <c r="X102" s="47">
        <f t="shared" si="201"/>
        <v>-0.10024899553032318</v>
      </c>
      <c r="Y102" s="47">
        <f t="shared" si="202"/>
        <v>0.11999853334958144</v>
      </c>
      <c r="Z102" s="47">
        <f t="shared" si="203"/>
        <v>0.20689199181680662</v>
      </c>
      <c r="AA102" s="47">
        <f t="shared" si="204"/>
        <v>0.24141558531166374</v>
      </c>
      <c r="AB102" s="47">
        <f t="shared" si="205"/>
        <v>0.59856884695807366</v>
      </c>
      <c r="AC102" s="47">
        <f t="shared" si="206"/>
        <v>0.78789880807800539</v>
      </c>
      <c r="AD102" s="47">
        <f t="shared" si="207"/>
        <v>1.3241322946167249</v>
      </c>
      <c r="AE102" s="47">
        <f t="shared" si="208"/>
        <v>0.84456456402238422</v>
      </c>
      <c r="AF102" s="47" t="str">
        <f t="shared" si="209"/>
        <v/>
      </c>
      <c r="AG102" s="47" t="str">
        <f t="shared" si="210"/>
        <v/>
      </c>
      <c r="AH102" s="47" t="str">
        <f t="shared" si="211"/>
        <v/>
      </c>
      <c r="AI102" s="47" t="str">
        <f t="shared" si="212"/>
        <v/>
      </c>
      <c r="AJ102" s="47">
        <f t="shared" si="213"/>
        <v>0.60636259451433672</v>
      </c>
      <c r="AK102" s="47">
        <f t="shared" si="214"/>
        <v>0.23825976287935258</v>
      </c>
      <c r="AL102" s="47">
        <f t="shared" si="215"/>
        <v>0.23892922827916618</v>
      </c>
      <c r="AM102" s="47">
        <f t="shared" si="216"/>
        <v>-4.2595628767370108E-3</v>
      </c>
      <c r="AN102" s="47">
        <f t="shared" si="217"/>
        <v>-9.4849475876658262E-2</v>
      </c>
      <c r="AO102" s="47">
        <f t="shared" si="218"/>
        <v>-0.28728360574080491</v>
      </c>
      <c r="AP102" s="47">
        <f t="shared" si="219"/>
        <v>-0.45625505558193213</v>
      </c>
      <c r="AQ102" s="47">
        <f t="shared" si="220"/>
        <v>-0.44443751629617678</v>
      </c>
      <c r="AR102" s="47" t="str">
        <f t="shared" si="221"/>
        <v/>
      </c>
      <c r="AS102" s="47" t="str">
        <f t="shared" si="222"/>
        <v/>
      </c>
      <c r="AT102" s="47" t="str">
        <f t="shared" si="223"/>
        <v/>
      </c>
      <c r="AU102" s="47" t="str">
        <f t="shared" si="224"/>
        <v/>
      </c>
      <c r="AV102" s="47">
        <f t="shared" si="225"/>
        <v>-0.13979954741301781</v>
      </c>
      <c r="AW102" s="47">
        <f t="shared" si="226"/>
        <v>3.7903573608466523E-2</v>
      </c>
      <c r="AX102" s="47">
        <f t="shared" si="227"/>
        <v>4.8719401447659072E-2</v>
      </c>
      <c r="AY102" s="47">
        <f t="shared" si="228"/>
        <v>0.2024067795379374</v>
      </c>
      <c r="AZ102" s="47">
        <f t="shared" si="229"/>
        <v>9.8249515288401978E-2</v>
      </c>
      <c r="BA102" s="47">
        <f t="shared" si="230"/>
        <v>0.13643758409656859</v>
      </c>
      <c r="BB102" s="47">
        <f t="shared" si="231"/>
        <v>0.24507972593883554</v>
      </c>
      <c r="BC102" s="47">
        <f t="shared" si="232"/>
        <v>0.31224752202141914</v>
      </c>
      <c r="BD102" s="47">
        <f t="shared" si="233"/>
        <v>0.31349199214349133</v>
      </c>
      <c r="BE102" s="47">
        <f t="shared" si="234"/>
        <v>0.26777203038095165</v>
      </c>
      <c r="BF102" s="47">
        <f t="shared" si="235"/>
        <v>0.30490265280019013</v>
      </c>
      <c r="BG102" s="47">
        <f t="shared" si="236"/>
        <v>0.11424951227020563</v>
      </c>
      <c r="BH102" s="47">
        <f t="shared" si="237"/>
        <v>2.2679317614148653E-2</v>
      </c>
      <c r="BI102" s="47">
        <f t="shared" si="238"/>
        <v>-2.3974345830089394E-2</v>
      </c>
      <c r="BJ102" s="47">
        <f t="shared" si="239"/>
        <v>-0.11704838833482922</v>
      </c>
      <c r="BK102" s="47">
        <f t="shared" si="240"/>
        <v>-5.8074409722752907E-2</v>
      </c>
      <c r="BL102" s="47">
        <f t="shared" si="241"/>
        <v>-2.3855501953833791E-2</v>
      </c>
      <c r="BM102" s="47">
        <f t="shared" si="242"/>
        <v>3.769198375252425E-2</v>
      </c>
      <c r="BN102" s="47">
        <f t="shared" si="243"/>
        <v>3.4663930239211549E-2</v>
      </c>
      <c r="BO102" s="47">
        <f t="shared" si="244"/>
        <v>5.5664013156231595E-2</v>
      </c>
      <c r="BP102" s="47">
        <f t="shared" si="245"/>
        <v>4.553832844389949E-2</v>
      </c>
      <c r="BQ102" s="47">
        <f t="shared" si="246"/>
        <v>0.19439923151256444</v>
      </c>
      <c r="BR102" s="47">
        <f t="shared" si="247"/>
        <v>0.16035969551083062</v>
      </c>
      <c r="BS102" s="47">
        <f t="shared" si="248"/>
        <v>0.4923743676431882</v>
      </c>
      <c r="BT102" s="47">
        <f t="shared" si="249"/>
        <v>0.34153891164765815</v>
      </c>
      <c r="BU102" s="47">
        <f t="shared" si="250"/>
        <v>0.1344930178725865</v>
      </c>
      <c r="BV102" s="47">
        <f t="shared" si="251"/>
        <v>0.18656329255195003</v>
      </c>
      <c r="BW102" s="47">
        <f t="shared" si="252"/>
        <v>0.28373355858690874</v>
      </c>
      <c r="BX102" s="47">
        <f t="shared" si="253"/>
        <v>0.31370747986175762</v>
      </c>
      <c r="BY102" s="47">
        <f t="shared" si="254"/>
        <v>0.26333456456043569</v>
      </c>
      <c r="BZ102" s="47">
        <f t="shared" si="255"/>
        <v>0.28869328093781554</v>
      </c>
      <c r="CA102" s="47">
        <f t="shared" si="256"/>
        <v>0.37641682926944653</v>
      </c>
      <c r="CB102" s="47">
        <f t="shared" si="257"/>
        <v>0.46271140908310615</v>
      </c>
      <c r="CC102" s="47">
        <f t="shared" si="258"/>
        <v>0.27281749723110305</v>
      </c>
      <c r="CD102" s="47">
        <f t="shared" si="259"/>
        <v>0.36205562215736675</v>
      </c>
      <c r="CE102" s="47">
        <f t="shared" si="260"/>
        <v>0.17757737725616884</v>
      </c>
      <c r="CF102" s="47">
        <f t="shared" si="261"/>
        <v>0.13236810181015479</v>
      </c>
      <c r="CG102" s="47">
        <f t="shared" si="262"/>
        <v>0.3553533734580423</v>
      </c>
      <c r="CH102" s="47">
        <f t="shared" si="263"/>
        <v>0.56034390061382466</v>
      </c>
      <c r="CI102" s="47">
        <f t="shared" si="264"/>
        <v>0.54148018025324274</v>
      </c>
      <c r="CJ102" s="47">
        <f t="shared" si="265"/>
        <v>0.44335868809259504</v>
      </c>
      <c r="CK102" s="47">
        <f t="shared" si="266"/>
        <v>0.27709831348747915</v>
      </c>
      <c r="CL102" s="47">
        <f t="shared" si="267"/>
        <v>0.19512338381562011</v>
      </c>
      <c r="CM102" s="47">
        <f t="shared" si="268"/>
        <v>6.4041276623670873E-2</v>
      </c>
      <c r="CN102" s="47">
        <f t="shared" si="269"/>
        <v>-7.9914231749178555E-4</v>
      </c>
      <c r="CO102" s="47">
        <f t="shared" si="270"/>
        <v>-4.3048704165002061E-2</v>
      </c>
      <c r="CP102" s="47">
        <f t="shared" si="271"/>
        <v>-0.11307466688205159</v>
      </c>
      <c r="CQ102" s="47">
        <f t="shared" si="272"/>
        <v>-0.12307223444696114</v>
      </c>
      <c r="CR102" s="47">
        <f t="shared" si="273"/>
        <v>-1.2911205217902233E-2</v>
      </c>
      <c r="CS102" s="47">
        <f t="shared" si="274"/>
        <v>-9.4991621006581539E-3</v>
      </c>
      <c r="CT102" s="47">
        <f t="shared" si="275"/>
        <v>-2.6702780597484321E-2</v>
      </c>
      <c r="CU102" s="47">
        <f t="shared" si="276"/>
        <v>-7.3840266413571443E-2</v>
      </c>
      <c r="CV102" s="47">
        <f t="shared" si="277"/>
        <v>-5.9597742217997296E-2</v>
      </c>
      <c r="CW102" s="47">
        <f t="shared" si="278"/>
        <v>2.77245913346571E-2</v>
      </c>
      <c r="CX102" s="47">
        <f t="shared" si="279"/>
        <v>1.192020562670737E-2</v>
      </c>
      <c r="CY102" s="47">
        <f t="shared" si="280"/>
        <v>7.4840096773032272E-2</v>
      </c>
      <c r="CZ102" s="47">
        <f t="shared" si="281"/>
        <v>7.7847981603649252E-2</v>
      </c>
      <c r="DA102" s="47">
        <f t="shared" si="282"/>
        <v>0.14660890430478979</v>
      </c>
      <c r="DB102" s="47">
        <f t="shared" si="283"/>
        <v>0.24336826970959291</v>
      </c>
      <c r="DC102" s="47">
        <f t="shared" si="284"/>
        <v>0.28385783765573658</v>
      </c>
      <c r="DD102" s="47">
        <f t="shared" si="285"/>
        <v>0.14250978002009917</v>
      </c>
      <c r="DE102" s="47">
        <f t="shared" si="286"/>
        <v>9.2637581220375687E-2</v>
      </c>
      <c r="DF102" s="47">
        <f t="shared" si="287"/>
        <v>8.5836770976934096E-2</v>
      </c>
      <c r="DG102" s="47">
        <f t="shared" si="288"/>
        <v>0.10288654779248341</v>
      </c>
      <c r="DH102" s="47">
        <f t="shared" si="289"/>
        <v>0.14871007441346884</v>
      </c>
      <c r="DI102" s="47">
        <f t="shared" si="290"/>
        <v>0.1220279126438637</v>
      </c>
      <c r="DJ102" s="47">
        <f t="shared" si="291"/>
        <v>0.10046124535357182</v>
      </c>
      <c r="DK102" s="47">
        <f t="shared" si="292"/>
        <v>3.7213765763474127E-2</v>
      </c>
      <c r="DL102" s="47">
        <f t="shared" si="293"/>
        <v>6.8780839899921453E-2</v>
      </c>
      <c r="DM102" s="47">
        <f t="shared" si="294"/>
        <v>2.4507211856834576E-3</v>
      </c>
      <c r="DN102" s="47">
        <f t="shared" si="295"/>
        <v>-2.6106753727909937E-2</v>
      </c>
      <c r="DO102" s="47">
        <f t="shared" si="296"/>
        <v>-2.2707410922911286E-2</v>
      </c>
      <c r="DP102" s="47" t="str">
        <f t="shared" si="297"/>
        <v/>
      </c>
      <c r="DQ102" s="47" t="str">
        <f t="shared" si="298"/>
        <v/>
      </c>
      <c r="DR102" s="47" t="str">
        <f t="shared" si="299"/>
        <v/>
      </c>
      <c r="DS102" s="47" t="str">
        <f t="shared" si="300"/>
        <v/>
      </c>
      <c r="DT102" s="47" t="str">
        <f t="shared" si="301"/>
        <v/>
      </c>
      <c r="DU102" s="47" t="str">
        <f t="shared" si="302"/>
        <v/>
      </c>
      <c r="DV102" s="47" t="str">
        <f t="shared" si="303"/>
        <v/>
      </c>
      <c r="DW102" s="47" t="str">
        <f t="shared" si="304"/>
        <v/>
      </c>
      <c r="DX102" s="47" t="str">
        <f t="shared" si="305"/>
        <v/>
      </c>
      <c r="DY102" s="47" t="str">
        <f t="shared" si="306"/>
        <v/>
      </c>
      <c r="DZ102" s="47" t="str">
        <f t="shared" si="307"/>
        <v/>
      </c>
      <c r="EA102" s="47" t="str">
        <f t="shared" si="308"/>
        <v/>
      </c>
      <c r="EB102" s="47" t="str">
        <f t="shared" si="309"/>
        <v/>
      </c>
      <c r="EC102" s="47" t="str">
        <f t="shared" si="310"/>
        <v/>
      </c>
      <c r="ED102" s="47" t="str">
        <f t="shared" si="311"/>
        <v/>
      </c>
      <c r="EE102" s="47" t="str">
        <f t="shared" si="312"/>
        <v/>
      </c>
      <c r="EF102" s="47" t="str">
        <f t="shared" si="313"/>
        <v/>
      </c>
      <c r="EG102" s="47" t="str">
        <f t="shared" si="314"/>
        <v/>
      </c>
      <c r="EH102" s="47" t="str">
        <f t="shared" si="315"/>
        <v/>
      </c>
      <c r="EI102" s="47" t="str">
        <f t="shared" si="316"/>
        <v/>
      </c>
      <c r="EJ102" s="47" t="str">
        <f t="shared" si="317"/>
        <v/>
      </c>
      <c r="EK102" s="47" t="str">
        <f t="shared" si="318"/>
        <v/>
      </c>
      <c r="EL102" s="47" t="str">
        <f t="shared" si="319"/>
        <v/>
      </c>
    </row>
    <row r="103" spans="2:142" x14ac:dyDescent="0.25">
      <c r="B103" s="22">
        <f t="shared" si="195"/>
        <v>12</v>
      </c>
      <c r="C103" s="23" t="str">
        <f t="shared" si="195"/>
        <v>PALTA</v>
      </c>
      <c r="D103" s="24">
        <f t="shared" si="195"/>
        <v>2.8422999999999999E-3</v>
      </c>
      <c r="E103" s="24">
        <f t="shared" si="195"/>
        <v>2.3062006069162491E-2</v>
      </c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 t="str">
        <f t="shared" si="196"/>
        <v/>
      </c>
      <c r="T103" s="48" t="str">
        <f t="shared" si="197"/>
        <v/>
      </c>
      <c r="U103" s="48">
        <f t="shared" si="198"/>
        <v>0.43877678841570145</v>
      </c>
      <c r="V103" s="48">
        <f t="shared" si="199"/>
        <v>0.42482221133876319</v>
      </c>
      <c r="W103" s="48">
        <f t="shared" si="200"/>
        <v>0.39597199890560297</v>
      </c>
      <c r="X103" s="48">
        <f t="shared" si="201"/>
        <v>-0.4336742196629948</v>
      </c>
      <c r="Y103" s="48">
        <f t="shared" si="202"/>
        <v>-0.43289431296652026</v>
      </c>
      <c r="Z103" s="48">
        <f t="shared" si="203"/>
        <v>-0.42348932889478974</v>
      </c>
      <c r="AA103" s="48">
        <f t="shared" si="204"/>
        <v>-0.35621273105900186</v>
      </c>
      <c r="AB103" s="48">
        <f t="shared" si="205"/>
        <v>-0.47029094352857925</v>
      </c>
      <c r="AC103" s="48">
        <f t="shared" si="206"/>
        <v>-0.50841076672188135</v>
      </c>
      <c r="AD103" s="48">
        <f t="shared" si="207"/>
        <v>-0.55151156014136582</v>
      </c>
      <c r="AE103" s="48">
        <f t="shared" si="208"/>
        <v>-0.54361560343002235</v>
      </c>
      <c r="AF103" s="48">
        <f t="shared" si="209"/>
        <v>-0.55382883535745486</v>
      </c>
      <c r="AG103" s="48">
        <f t="shared" si="210"/>
        <v>-0.50498198337553557</v>
      </c>
      <c r="AH103" s="48">
        <f t="shared" si="211"/>
        <v>-0.54571649070635742</v>
      </c>
      <c r="AI103" s="48">
        <f t="shared" si="212"/>
        <v>-0.63123937046775125</v>
      </c>
      <c r="AJ103" s="48">
        <f t="shared" si="213"/>
        <v>-0.19212585074220123</v>
      </c>
      <c r="AK103" s="48">
        <f t="shared" si="214"/>
        <v>0.18411313693060571</v>
      </c>
      <c r="AL103" s="48">
        <f t="shared" si="215"/>
        <v>0.21031471892570086</v>
      </c>
      <c r="AM103" s="48">
        <f t="shared" si="216"/>
        <v>0.5555702898737378</v>
      </c>
      <c r="AN103" s="48">
        <f t="shared" si="217"/>
        <v>0.68680436131829992</v>
      </c>
      <c r="AO103" s="48">
        <f t="shared" si="218"/>
        <v>0.54386582530201699</v>
      </c>
      <c r="AP103" s="48">
        <f t="shared" si="219"/>
        <v>0.83926920953657902</v>
      </c>
      <c r="AQ103" s="48">
        <f t="shared" si="220"/>
        <v>0.92723246644324342</v>
      </c>
      <c r="AR103" s="48">
        <f t="shared" si="221"/>
        <v>1.1326964603854206</v>
      </c>
      <c r="AS103" s="48">
        <f t="shared" si="222"/>
        <v>1.1814065728150021</v>
      </c>
      <c r="AT103" s="48">
        <f t="shared" si="223"/>
        <v>1.4036513364236334</v>
      </c>
      <c r="AU103" s="48">
        <f t="shared" si="224"/>
        <v>1.8960469953907491</v>
      </c>
      <c r="AV103" s="48">
        <f t="shared" si="225"/>
        <v>1.7524895994401462</v>
      </c>
      <c r="AW103" s="48">
        <f t="shared" si="226"/>
        <v>0.44390600257428381</v>
      </c>
      <c r="AX103" s="48">
        <f t="shared" si="227"/>
        <v>0.11582817517392341</v>
      </c>
      <c r="AY103" s="48">
        <f t="shared" si="228"/>
        <v>0.15287251438649996</v>
      </c>
      <c r="AZ103" s="48">
        <f t="shared" si="229"/>
        <v>0.2099348564504655</v>
      </c>
      <c r="BA103" s="48">
        <f t="shared" si="230"/>
        <v>0.2539566622255387</v>
      </c>
      <c r="BB103" s="48">
        <f t="shared" si="231"/>
        <v>0.1085881503318733</v>
      </c>
      <c r="BC103" s="48">
        <f t="shared" si="232"/>
        <v>-3.096561788128227E-2</v>
      </c>
      <c r="BD103" s="48">
        <f t="shared" si="233"/>
        <v>-0.13772609588409312</v>
      </c>
      <c r="BE103" s="48">
        <f t="shared" si="234"/>
        <v>-0.3006494299812249</v>
      </c>
      <c r="BF103" s="48">
        <f t="shared" si="235"/>
        <v>-0.39163075979273398</v>
      </c>
      <c r="BG103" s="48">
        <f t="shared" si="236"/>
        <v>-0.50153464686340166</v>
      </c>
      <c r="BH103" s="48">
        <f t="shared" si="237"/>
        <v>-0.49087341630523929</v>
      </c>
      <c r="BI103" s="48">
        <f t="shared" si="238"/>
        <v>-6.5924318478613797E-2</v>
      </c>
      <c r="BJ103" s="48">
        <f t="shared" si="239"/>
        <v>0.27291652819696099</v>
      </c>
      <c r="BK103" s="48">
        <f t="shared" si="240"/>
        <v>-0.14605238001780285</v>
      </c>
      <c r="BL103" s="48">
        <f t="shared" si="241"/>
        <v>-0.21913959511300096</v>
      </c>
      <c r="BM103" s="48">
        <f t="shared" si="242"/>
        <v>-0.13881211541755545</v>
      </c>
      <c r="BN103" s="48">
        <f t="shared" si="243"/>
        <v>-0.15681995418687067</v>
      </c>
      <c r="BO103" s="48">
        <f t="shared" si="244"/>
        <v>6.2262769808063112E-2</v>
      </c>
      <c r="BP103" s="48">
        <f t="shared" si="245"/>
        <v>0.14745086632617266</v>
      </c>
      <c r="BQ103" s="48">
        <f t="shared" si="246"/>
        <v>0.36847341818309953</v>
      </c>
      <c r="BR103" s="48">
        <f t="shared" si="247"/>
        <v>0.47757368485631724</v>
      </c>
      <c r="BS103" s="48">
        <f t="shared" si="248"/>
        <v>0.29530931708077479</v>
      </c>
      <c r="BT103" s="48">
        <f t="shared" si="249"/>
        <v>0.24515462335578597</v>
      </c>
      <c r="BU103" s="48">
        <f t="shared" si="250"/>
        <v>-7.2246438639043897E-2</v>
      </c>
      <c r="BV103" s="48">
        <f t="shared" si="251"/>
        <v>-7.3689904570757303E-2</v>
      </c>
      <c r="BW103" s="48">
        <f t="shared" si="252"/>
        <v>-2.8602954203308384E-3</v>
      </c>
      <c r="BX103" s="48">
        <f t="shared" si="253"/>
        <v>-1.1802126085038056E-2</v>
      </c>
      <c r="BY103" s="48">
        <f t="shared" si="254"/>
        <v>-3.087885082288544E-2</v>
      </c>
      <c r="BZ103" s="48">
        <f t="shared" si="255"/>
        <v>2.3392859445911851E-2</v>
      </c>
      <c r="CA103" s="48">
        <f t="shared" si="256"/>
        <v>-0.15762210361272055</v>
      </c>
      <c r="CB103" s="48">
        <f t="shared" si="257"/>
        <v>-0.20712454171191275</v>
      </c>
      <c r="CC103" s="48">
        <f t="shared" si="258"/>
        <v>-0.30617892566324045</v>
      </c>
      <c r="CD103" s="48">
        <f t="shared" si="259"/>
        <v>-0.31201418159913863</v>
      </c>
      <c r="CE103" s="48">
        <f t="shared" si="260"/>
        <v>-0.21393991820456082</v>
      </c>
      <c r="CF103" s="48">
        <f t="shared" si="261"/>
        <v>-0.22769820662812268</v>
      </c>
      <c r="CG103" s="48">
        <f t="shared" si="262"/>
        <v>-2.9636736349306192E-2</v>
      </c>
      <c r="CH103" s="48">
        <f t="shared" si="263"/>
        <v>0.18217898840437141</v>
      </c>
      <c r="CI103" s="48">
        <f t="shared" si="264"/>
        <v>0.27271042314425364</v>
      </c>
      <c r="CJ103" s="48">
        <f t="shared" si="265"/>
        <v>0.36417845894858858</v>
      </c>
      <c r="CK103" s="48">
        <f t="shared" si="266"/>
        <v>0.48917766640957816</v>
      </c>
      <c r="CL103" s="48">
        <f t="shared" si="267"/>
        <v>0.62959700384234685</v>
      </c>
      <c r="CM103" s="48">
        <f t="shared" si="268"/>
        <v>0.84194879450964288</v>
      </c>
      <c r="CN103" s="48">
        <f t="shared" si="269"/>
        <v>0.8803560369251977</v>
      </c>
      <c r="CO103" s="48">
        <f t="shared" si="270"/>
        <v>0.98715507078204667</v>
      </c>
      <c r="CP103" s="48">
        <f t="shared" si="271"/>
        <v>0.89116187450942719</v>
      </c>
      <c r="CQ103" s="48">
        <f t="shared" si="272"/>
        <v>0.84233046660448885</v>
      </c>
      <c r="CR103" s="48">
        <f t="shared" si="273"/>
        <v>0.87670779718992464</v>
      </c>
      <c r="CS103" s="48">
        <f t="shared" si="274"/>
        <v>0.32287688018379135</v>
      </c>
      <c r="CT103" s="48">
        <f t="shared" si="275"/>
        <v>0.30897162812464662</v>
      </c>
      <c r="CU103" s="48">
        <f t="shared" si="276"/>
        <v>0.15710763119409732</v>
      </c>
      <c r="CV103" s="48">
        <f t="shared" si="277"/>
        <v>0.18245995044877139</v>
      </c>
      <c r="CW103" s="48">
        <f t="shared" si="278"/>
        <v>5.418922470632026E-2</v>
      </c>
      <c r="CX103" s="48">
        <f t="shared" si="279"/>
        <v>-2.2106468455423522E-2</v>
      </c>
      <c r="CY103" s="48">
        <f t="shared" si="280"/>
        <v>-8.7655373106257595E-2</v>
      </c>
      <c r="CZ103" s="48">
        <f t="shared" si="281"/>
        <v>-9.1776487306374666E-2</v>
      </c>
      <c r="DA103" s="48">
        <f t="shared" si="282"/>
        <v>-1.7668604613914174E-2</v>
      </c>
      <c r="DB103" s="48">
        <f t="shared" si="283"/>
        <v>4.6476851478566727E-2</v>
      </c>
      <c r="DC103" s="48">
        <f t="shared" si="284"/>
        <v>0.126100347320937</v>
      </c>
      <c r="DD103" s="48">
        <f t="shared" si="285"/>
        <v>0.19272253241255188</v>
      </c>
      <c r="DE103" s="48">
        <f t="shared" si="286"/>
        <v>0.16810337052986957</v>
      </c>
      <c r="DF103" s="48">
        <f t="shared" si="287"/>
        <v>-1.0730014281060574E-2</v>
      </c>
      <c r="DG103" s="48">
        <f t="shared" si="288"/>
        <v>2.8396478642248146E-2</v>
      </c>
      <c r="DH103" s="48">
        <f t="shared" si="289"/>
        <v>-5.9005925637089507E-2</v>
      </c>
      <c r="DI103" s="48">
        <f t="shared" si="290"/>
        <v>3.7254626001228974E-2</v>
      </c>
      <c r="DJ103" s="48">
        <f t="shared" si="291"/>
        <v>4.8612252195352701E-2</v>
      </c>
      <c r="DK103" s="48">
        <f t="shared" si="292"/>
        <v>2.9864691278044253E-2</v>
      </c>
      <c r="DL103" s="48">
        <f t="shared" si="293"/>
        <v>5.240069813112358E-2</v>
      </c>
      <c r="DM103" s="48">
        <f t="shared" si="294"/>
        <v>-3.13334539946718E-2</v>
      </c>
      <c r="DN103" s="48">
        <f t="shared" si="295"/>
        <v>-3.0910191047518132E-2</v>
      </c>
      <c r="DO103" s="48">
        <f t="shared" si="296"/>
        <v>-1.8095765008990239E-2</v>
      </c>
      <c r="DP103" s="48" t="str">
        <f t="shared" si="297"/>
        <v/>
      </c>
      <c r="DQ103" s="48" t="str">
        <f t="shared" si="298"/>
        <v/>
      </c>
      <c r="DR103" s="48" t="str">
        <f t="shared" si="299"/>
        <v/>
      </c>
      <c r="DS103" s="48" t="str">
        <f t="shared" si="300"/>
        <v/>
      </c>
      <c r="DT103" s="48" t="str">
        <f t="shared" si="301"/>
        <v/>
      </c>
      <c r="DU103" s="48" t="str">
        <f t="shared" si="302"/>
        <v/>
      </c>
      <c r="DV103" s="48" t="str">
        <f t="shared" si="303"/>
        <v/>
      </c>
      <c r="DW103" s="48" t="str">
        <f t="shared" si="304"/>
        <v/>
      </c>
      <c r="DX103" s="48" t="str">
        <f t="shared" si="305"/>
        <v/>
      </c>
      <c r="DY103" s="48" t="str">
        <f t="shared" si="306"/>
        <v/>
      </c>
      <c r="DZ103" s="48" t="str">
        <f t="shared" si="307"/>
        <v/>
      </c>
      <c r="EA103" s="48" t="str">
        <f t="shared" si="308"/>
        <v/>
      </c>
      <c r="EB103" s="48" t="str">
        <f t="shared" si="309"/>
        <v/>
      </c>
      <c r="EC103" s="48" t="str">
        <f t="shared" si="310"/>
        <v/>
      </c>
      <c r="ED103" s="48" t="str">
        <f t="shared" si="311"/>
        <v/>
      </c>
      <c r="EE103" s="48" t="str">
        <f t="shared" si="312"/>
        <v/>
      </c>
      <c r="EF103" s="48" t="str">
        <f t="shared" si="313"/>
        <v/>
      </c>
      <c r="EG103" s="48" t="str">
        <f t="shared" si="314"/>
        <v/>
      </c>
      <c r="EH103" s="48" t="str">
        <f t="shared" si="315"/>
        <v/>
      </c>
      <c r="EI103" s="48" t="str">
        <f t="shared" si="316"/>
        <v/>
      </c>
      <c r="EJ103" s="48" t="str">
        <f t="shared" si="317"/>
        <v/>
      </c>
      <c r="EK103" s="48" t="str">
        <f t="shared" si="318"/>
        <v/>
      </c>
      <c r="EL103" s="48" t="str">
        <f t="shared" si="319"/>
        <v/>
      </c>
    </row>
    <row r="104" spans="2:142" x14ac:dyDescent="0.25">
      <c r="B104" s="22">
        <f t="shared" si="195"/>
        <v>13</v>
      </c>
      <c r="C104" s="23" t="str">
        <f t="shared" si="195"/>
        <v>PERA</v>
      </c>
      <c r="D104" s="24">
        <f t="shared" si="195"/>
        <v>3.0009999999999998E-4</v>
      </c>
      <c r="E104" s="24">
        <f t="shared" si="195"/>
        <v>2.4349674634470899E-3</v>
      </c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 t="str">
        <f t="shared" si="196"/>
        <v/>
      </c>
      <c r="T104" s="48" t="str">
        <f t="shared" si="197"/>
        <v/>
      </c>
      <c r="U104" s="48">
        <f t="shared" si="198"/>
        <v>0.18312317560238234</v>
      </c>
      <c r="V104" s="48">
        <f t="shared" si="199"/>
        <v>-7.4950490445954476E-2</v>
      </c>
      <c r="W104" s="48">
        <f t="shared" si="200"/>
        <v>0.13344020578979943</v>
      </c>
      <c r="X104" s="48">
        <f t="shared" si="201"/>
        <v>-9.6850863835711842E-2</v>
      </c>
      <c r="Y104" s="48">
        <f t="shared" si="202"/>
        <v>8.372923959621148E-2</v>
      </c>
      <c r="Z104" s="48">
        <f t="shared" si="203"/>
        <v>-2.4630746240793422E-2</v>
      </c>
      <c r="AA104" s="48">
        <f t="shared" si="204"/>
        <v>3.8237744119408834E-2</v>
      </c>
      <c r="AB104" s="48">
        <f t="shared" si="205"/>
        <v>0.21261289845828912</v>
      </c>
      <c r="AC104" s="48">
        <f t="shared" si="206"/>
        <v>0.2603382228537392</v>
      </c>
      <c r="AD104" s="48" t="str">
        <f t="shared" si="207"/>
        <v/>
      </c>
      <c r="AE104" s="48" t="str">
        <f t="shared" si="208"/>
        <v/>
      </c>
      <c r="AF104" s="48" t="str">
        <f t="shared" si="209"/>
        <v/>
      </c>
      <c r="AG104" s="48" t="str">
        <f t="shared" si="210"/>
        <v/>
      </c>
      <c r="AH104" s="48">
        <f t="shared" si="211"/>
        <v>0.17460283548056288</v>
      </c>
      <c r="AI104" s="48">
        <f t="shared" si="212"/>
        <v>2.9476095172763506E-2</v>
      </c>
      <c r="AJ104" s="48">
        <f t="shared" si="213"/>
        <v>5.2405058407425598E-2</v>
      </c>
      <c r="AK104" s="48">
        <f t="shared" si="214"/>
        <v>1.1691662731932784E-2</v>
      </c>
      <c r="AL104" s="48">
        <f t="shared" si="215"/>
        <v>0.13544546637698018</v>
      </c>
      <c r="AM104" s="48">
        <f t="shared" si="216"/>
        <v>2.9922894758052543E-2</v>
      </c>
      <c r="AN104" s="48">
        <f t="shared" si="217"/>
        <v>-0.17876800024747863</v>
      </c>
      <c r="AO104" s="48">
        <f t="shared" si="218"/>
        <v>-0.29505345792173343</v>
      </c>
      <c r="AP104" s="48" t="str">
        <f t="shared" si="219"/>
        <v/>
      </c>
      <c r="AQ104" s="48" t="str">
        <f t="shared" si="220"/>
        <v/>
      </c>
      <c r="AR104" s="48" t="str">
        <f t="shared" si="221"/>
        <v/>
      </c>
      <c r="AS104" s="48" t="str">
        <f t="shared" si="222"/>
        <v/>
      </c>
      <c r="AT104" s="48">
        <f t="shared" si="223"/>
        <v>8.6868140920182801E-2</v>
      </c>
      <c r="AU104" s="48">
        <f t="shared" si="224"/>
        <v>0.17751068762599864</v>
      </c>
      <c r="AV104" s="48">
        <f t="shared" si="225"/>
        <v>0.14625135644195564</v>
      </c>
      <c r="AW104" s="48">
        <f t="shared" si="226"/>
        <v>0.15564658739444037</v>
      </c>
      <c r="AX104" s="48">
        <f t="shared" si="227"/>
        <v>9.9764927419223159E-2</v>
      </c>
      <c r="AY104" s="48">
        <f t="shared" si="228"/>
        <v>0.22002304490525093</v>
      </c>
      <c r="AZ104" s="48">
        <f t="shared" si="229"/>
        <v>0.40366199776177392</v>
      </c>
      <c r="BA104" s="48">
        <f t="shared" si="230"/>
        <v>0.59302405275380043</v>
      </c>
      <c r="BB104" s="48" t="str">
        <f t="shared" si="231"/>
        <v/>
      </c>
      <c r="BC104" s="48" t="str">
        <f t="shared" si="232"/>
        <v/>
      </c>
      <c r="BD104" s="48" t="str">
        <f t="shared" si="233"/>
        <v/>
      </c>
      <c r="BE104" s="48">
        <f t="shared" si="234"/>
        <v>0.22123819104782072</v>
      </c>
      <c r="BF104" s="48">
        <f t="shared" si="235"/>
        <v>0.11688822018886613</v>
      </c>
      <c r="BG104" s="48">
        <f t="shared" si="236"/>
        <v>2.6621221700947162E-2</v>
      </c>
      <c r="BH104" s="48">
        <f t="shared" si="237"/>
        <v>7.3945755272524893E-2</v>
      </c>
      <c r="BI104" s="48">
        <f t="shared" si="238"/>
        <v>6.8092648004360878E-2</v>
      </c>
      <c r="BJ104" s="48">
        <f t="shared" si="239"/>
        <v>4.986200951997688E-2</v>
      </c>
      <c r="BK104" s="48">
        <f t="shared" si="240"/>
        <v>9.9210548234277107E-2</v>
      </c>
      <c r="BL104" s="48">
        <f t="shared" si="241"/>
        <v>-9.5016859324702496E-3</v>
      </c>
      <c r="BM104" s="48">
        <f t="shared" si="242"/>
        <v>-7.3036748204923452E-2</v>
      </c>
      <c r="BN104" s="48" t="str">
        <f t="shared" si="243"/>
        <v/>
      </c>
      <c r="BO104" s="48" t="str">
        <f t="shared" si="244"/>
        <v/>
      </c>
      <c r="BP104" s="48" t="str">
        <f t="shared" si="245"/>
        <v/>
      </c>
      <c r="BQ104" s="48">
        <f t="shared" si="246"/>
        <v>0.130008749101586</v>
      </c>
      <c r="BR104" s="48">
        <f t="shared" si="247"/>
        <v>9.2358351470730238E-2</v>
      </c>
      <c r="BS104" s="48">
        <f t="shared" si="248"/>
        <v>0.21568582278541193</v>
      </c>
      <c r="BT104" s="48">
        <f t="shared" si="249"/>
        <v>0.14629437160135916</v>
      </c>
      <c r="BU104" s="48">
        <f t="shared" si="250"/>
        <v>0.16641940211282669</v>
      </c>
      <c r="BV104" s="48">
        <f t="shared" si="251"/>
        <v>0.15779447195558682</v>
      </c>
      <c r="BW104" s="48">
        <f t="shared" si="252"/>
        <v>9.1350831693874923E-3</v>
      </c>
      <c r="BX104" s="48">
        <f t="shared" si="253"/>
        <v>-3.8890956123450393E-2</v>
      </c>
      <c r="BY104" s="48">
        <f t="shared" si="254"/>
        <v>4.6588260163213935E-3</v>
      </c>
      <c r="BZ104" s="48" t="str">
        <f t="shared" si="255"/>
        <v/>
      </c>
      <c r="CA104" s="48" t="str">
        <f t="shared" si="256"/>
        <v/>
      </c>
      <c r="CB104" s="48" t="str">
        <f t="shared" si="257"/>
        <v/>
      </c>
      <c r="CC104" s="48">
        <f t="shared" si="258"/>
        <v>6.1119732622991751E-3</v>
      </c>
      <c r="CD104" s="48">
        <f t="shared" si="259"/>
        <v>3.0748214350747372E-2</v>
      </c>
      <c r="CE104" s="48">
        <f t="shared" si="260"/>
        <v>-3.1029958551822667E-2</v>
      </c>
      <c r="CF104" s="48">
        <f t="shared" si="261"/>
        <v>2.4674228872517689E-2</v>
      </c>
      <c r="CG104" s="48">
        <f t="shared" si="262"/>
        <v>8.8514686879692661E-3</v>
      </c>
      <c r="CH104" s="48">
        <f t="shared" si="263"/>
        <v>3.6982821752836736E-2</v>
      </c>
      <c r="CI104" s="48">
        <f t="shared" si="264"/>
        <v>4.4232494389381705E-2</v>
      </c>
      <c r="CJ104" s="48">
        <f t="shared" si="265"/>
        <v>0.13361525433608468</v>
      </c>
      <c r="CK104" s="48">
        <f t="shared" si="266"/>
        <v>8.7628870598513098E-2</v>
      </c>
      <c r="CL104" s="48">
        <f t="shared" si="267"/>
        <v>0.45656306854010409</v>
      </c>
      <c r="CM104" s="48" t="str">
        <f t="shared" si="268"/>
        <v/>
      </c>
      <c r="CN104" s="48" t="str">
        <f t="shared" si="269"/>
        <v/>
      </c>
      <c r="CO104" s="48">
        <f t="shared" si="270"/>
        <v>0.17834490958056604</v>
      </c>
      <c r="CP104" s="48">
        <f t="shared" si="271"/>
        <v>0.11487989889951611</v>
      </c>
      <c r="CQ104" s="48">
        <f t="shared" si="272"/>
        <v>0.11273974337832593</v>
      </c>
      <c r="CR104" s="48">
        <f t="shared" si="273"/>
        <v>3.3528362530033773E-2</v>
      </c>
      <c r="CS104" s="48">
        <f t="shared" si="274"/>
        <v>1.1276297038764982E-2</v>
      </c>
      <c r="CT104" s="48">
        <f t="shared" si="275"/>
        <v>8.204943284625843E-3</v>
      </c>
      <c r="CU104" s="48">
        <f t="shared" si="276"/>
        <v>-1.0262504634341307E-2</v>
      </c>
      <c r="CV104" s="48">
        <f t="shared" si="277"/>
        <v>-1.8182812312761309E-2</v>
      </c>
      <c r="CW104" s="48">
        <f t="shared" si="278"/>
        <v>-3.2955218931504104E-2</v>
      </c>
      <c r="CX104" s="48">
        <f t="shared" si="279"/>
        <v>-0.24633579975552899</v>
      </c>
      <c r="CY104" s="48" t="str">
        <f t="shared" si="280"/>
        <v/>
      </c>
      <c r="CZ104" s="48" t="str">
        <f t="shared" si="281"/>
        <v/>
      </c>
      <c r="DA104" s="48">
        <f t="shared" si="282"/>
        <v>-3.8665364889589493E-2</v>
      </c>
      <c r="DB104" s="48">
        <f t="shared" si="283"/>
        <v>-2.1804883658301244E-2</v>
      </c>
      <c r="DC104" s="48">
        <f t="shared" si="284"/>
        <v>-1.3172787756645099E-2</v>
      </c>
      <c r="DD104" s="48">
        <f t="shared" si="285"/>
        <v>1.9861228653203611E-2</v>
      </c>
      <c r="DE104" s="48">
        <f t="shared" si="286"/>
        <v>-2.4528551096800522E-2</v>
      </c>
      <c r="DF104" s="48">
        <f t="shared" si="287"/>
        <v>-2.5872723076936333E-2</v>
      </c>
      <c r="DG104" s="48">
        <f t="shared" si="288"/>
        <v>1.469413351560922E-2</v>
      </c>
      <c r="DH104" s="48">
        <f t="shared" si="289"/>
        <v>4.574969806936835E-3</v>
      </c>
      <c r="DI104" s="48">
        <f t="shared" si="290"/>
        <v>-1.0050837796516943E-3</v>
      </c>
      <c r="DJ104" s="48" t="str">
        <f t="shared" si="291"/>
        <v/>
      </c>
      <c r="DK104" s="48" t="str">
        <f t="shared" si="292"/>
        <v/>
      </c>
      <c r="DL104" s="48" t="str">
        <f t="shared" si="293"/>
        <v/>
      </c>
      <c r="DM104" s="48">
        <f t="shared" si="294"/>
        <v>1.4512176034602309E-2</v>
      </c>
      <c r="DN104" s="48">
        <f t="shared" si="295"/>
        <v>1.1676384683554142E-2</v>
      </c>
      <c r="DO104" s="48">
        <f t="shared" si="296"/>
        <v>9.3959381687461985E-2</v>
      </c>
      <c r="DP104" s="48" t="str">
        <f t="shared" si="297"/>
        <v/>
      </c>
      <c r="DQ104" s="48" t="str">
        <f t="shared" si="298"/>
        <v/>
      </c>
      <c r="DR104" s="48" t="str">
        <f t="shared" si="299"/>
        <v/>
      </c>
      <c r="DS104" s="48" t="str">
        <f t="shared" si="300"/>
        <v/>
      </c>
      <c r="DT104" s="48" t="str">
        <f t="shared" si="301"/>
        <v/>
      </c>
      <c r="DU104" s="48" t="str">
        <f t="shared" si="302"/>
        <v/>
      </c>
      <c r="DV104" s="48" t="str">
        <f t="shared" si="303"/>
        <v/>
      </c>
      <c r="DW104" s="48" t="str">
        <f t="shared" si="304"/>
        <v/>
      </c>
      <c r="DX104" s="48" t="str">
        <f t="shared" si="305"/>
        <v/>
      </c>
      <c r="DY104" s="48" t="str">
        <f t="shared" si="306"/>
        <v/>
      </c>
      <c r="DZ104" s="48" t="str">
        <f t="shared" si="307"/>
        <v/>
      </c>
      <c r="EA104" s="48" t="str">
        <f t="shared" si="308"/>
        <v/>
      </c>
      <c r="EB104" s="48" t="str">
        <f t="shared" si="309"/>
        <v/>
      </c>
      <c r="EC104" s="48" t="str">
        <f t="shared" si="310"/>
        <v/>
      </c>
      <c r="ED104" s="48" t="str">
        <f t="shared" si="311"/>
        <v/>
      </c>
      <c r="EE104" s="48" t="str">
        <f t="shared" si="312"/>
        <v/>
      </c>
      <c r="EF104" s="48" t="str">
        <f t="shared" si="313"/>
        <v/>
      </c>
      <c r="EG104" s="48" t="str">
        <f t="shared" si="314"/>
        <v/>
      </c>
      <c r="EH104" s="48" t="str">
        <f t="shared" si="315"/>
        <v/>
      </c>
      <c r="EI104" s="48" t="str">
        <f t="shared" si="316"/>
        <v/>
      </c>
      <c r="EJ104" s="48" t="str">
        <f t="shared" si="317"/>
        <v/>
      </c>
      <c r="EK104" s="48" t="str">
        <f t="shared" si="318"/>
        <v/>
      </c>
      <c r="EL104" s="48" t="str">
        <f t="shared" si="319"/>
        <v/>
      </c>
    </row>
    <row r="105" spans="2:142" x14ac:dyDescent="0.25">
      <c r="B105" s="22">
        <f t="shared" si="195"/>
        <v>14</v>
      </c>
      <c r="C105" s="23" t="str">
        <f t="shared" si="195"/>
        <v>PLÁTANO</v>
      </c>
      <c r="D105" s="24">
        <f t="shared" si="195"/>
        <v>1.2176000000000001E-3</v>
      </c>
      <c r="E105" s="24">
        <f t="shared" si="195"/>
        <v>9.8794281355987241E-3</v>
      </c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 t="str">
        <f t="shared" si="196"/>
        <v/>
      </c>
      <c r="T105" s="48" t="str">
        <f t="shared" si="197"/>
        <v/>
      </c>
      <c r="U105" s="48">
        <f t="shared" si="198"/>
        <v>0.17792620531676695</v>
      </c>
      <c r="V105" s="48">
        <f t="shared" si="199"/>
        <v>0.19415208673122231</v>
      </c>
      <c r="W105" s="48">
        <f t="shared" si="200"/>
        <v>0.17481852474465698</v>
      </c>
      <c r="X105" s="48">
        <f t="shared" si="201"/>
        <v>0.13477193682393551</v>
      </c>
      <c r="Y105" s="48">
        <f t="shared" si="202"/>
        <v>0.35814432361728032</v>
      </c>
      <c r="Z105" s="48">
        <f t="shared" si="203"/>
        <v>0.16523887130497927</v>
      </c>
      <c r="AA105" s="48">
        <f t="shared" si="204"/>
        <v>8.8087821887161022E-2</v>
      </c>
      <c r="AB105" s="48">
        <f t="shared" si="205"/>
        <v>-8.0954235225318971E-2</v>
      </c>
      <c r="AC105" s="48">
        <f t="shared" si="206"/>
        <v>-1.4430073871728455E-3</v>
      </c>
      <c r="AD105" s="48">
        <f t="shared" si="207"/>
        <v>-6.0782549967686172E-3</v>
      </c>
      <c r="AE105" s="48">
        <f t="shared" si="208"/>
        <v>-5.706213486631162E-2</v>
      </c>
      <c r="AF105" s="48">
        <f t="shared" si="209"/>
        <v>-5.7168609333311693E-2</v>
      </c>
      <c r="AG105" s="48">
        <f t="shared" si="210"/>
        <v>0.18433816151611881</v>
      </c>
      <c r="AH105" s="48">
        <f t="shared" si="211"/>
        <v>4.7368399779745607E-2</v>
      </c>
      <c r="AI105" s="48">
        <f t="shared" si="212"/>
        <v>4.9018617111904694E-2</v>
      </c>
      <c r="AJ105" s="48">
        <f t="shared" si="213"/>
        <v>-9.6130433534965087E-2</v>
      </c>
      <c r="AK105" s="48">
        <f t="shared" si="214"/>
        <v>-0.10861949256158576</v>
      </c>
      <c r="AL105" s="48">
        <f t="shared" si="215"/>
        <v>5.1393056586325203E-2</v>
      </c>
      <c r="AM105" s="48">
        <f t="shared" si="216"/>
        <v>4.4782285508317532E-2</v>
      </c>
      <c r="AN105" s="48">
        <f t="shared" si="217"/>
        <v>2.927663600961794E-2</v>
      </c>
      <c r="AO105" s="48">
        <f t="shared" si="218"/>
        <v>-1.7275237715313696E-2</v>
      </c>
      <c r="AP105" s="48">
        <f t="shared" si="219"/>
        <v>6.8444485607169092E-2</v>
      </c>
      <c r="AQ105" s="48">
        <f t="shared" si="220"/>
        <v>0.17725437758984142</v>
      </c>
      <c r="AR105" s="48">
        <f t="shared" si="221"/>
        <v>5.2869377035676957E-2</v>
      </c>
      <c r="AS105" s="48">
        <f t="shared" si="222"/>
        <v>-4.6366279839785141E-2</v>
      </c>
      <c r="AT105" s="48">
        <f t="shared" si="223"/>
        <v>6.4257051042007296E-2</v>
      </c>
      <c r="AU105" s="48">
        <f t="shared" si="224"/>
        <v>9.922895132192977E-2</v>
      </c>
      <c r="AV105" s="48">
        <f t="shared" si="225"/>
        <v>8.4860655887442071E-2</v>
      </c>
      <c r="AW105" s="48">
        <f t="shared" si="226"/>
        <v>0.10473131276556247</v>
      </c>
      <c r="AX105" s="48">
        <f t="shared" si="227"/>
        <v>-1.4536362762653243E-2</v>
      </c>
      <c r="AY105" s="48">
        <f t="shared" si="228"/>
        <v>2.7528494610047805E-2</v>
      </c>
      <c r="AZ105" s="48">
        <f t="shared" si="229"/>
        <v>4.4437943461030693E-2</v>
      </c>
      <c r="BA105" s="48">
        <f t="shared" si="230"/>
        <v>-2.4028372546268661E-2</v>
      </c>
      <c r="BB105" s="48">
        <f t="shared" si="231"/>
        <v>-9.5656426377608739E-2</v>
      </c>
      <c r="BC105" s="48">
        <f t="shared" si="232"/>
        <v>-6.9832775272608449E-2</v>
      </c>
      <c r="BD105" s="48">
        <f t="shared" si="233"/>
        <v>4.0903746301276911E-2</v>
      </c>
      <c r="BE105" s="48">
        <f t="shared" si="234"/>
        <v>-1.1391368977853755E-2</v>
      </c>
      <c r="BF105" s="48">
        <f t="shared" si="235"/>
        <v>-5.5620338993404794E-2</v>
      </c>
      <c r="BG105" s="48">
        <f t="shared" si="236"/>
        <v>-0.16171370411979546</v>
      </c>
      <c r="BH105" s="48">
        <f t="shared" si="237"/>
        <v>-6.9149608045094513E-2</v>
      </c>
      <c r="BI105" s="48">
        <f t="shared" si="238"/>
        <v>-6.7534814257093068E-2</v>
      </c>
      <c r="BJ105" s="48">
        <f t="shared" si="239"/>
        <v>-9.12748929903483E-2</v>
      </c>
      <c r="BK105" s="48">
        <f t="shared" si="240"/>
        <v>-2.336991358602436E-3</v>
      </c>
      <c r="BL105" s="48">
        <f t="shared" si="241"/>
        <v>3.7348726527315357E-2</v>
      </c>
      <c r="BM105" s="48">
        <f t="shared" si="242"/>
        <v>-8.2965301303983274E-4</v>
      </c>
      <c r="BN105" s="48">
        <f t="shared" si="243"/>
        <v>1.4605859560255396E-2</v>
      </c>
      <c r="BO105" s="48">
        <f t="shared" si="244"/>
        <v>2.0716014683759498E-2</v>
      </c>
      <c r="BP105" s="48">
        <f t="shared" si="245"/>
        <v>7.6408332426773917E-2</v>
      </c>
      <c r="BQ105" s="48">
        <f t="shared" si="246"/>
        <v>0.15915153189105724</v>
      </c>
      <c r="BR105" s="48">
        <f t="shared" si="247"/>
        <v>0.3180224852314828</v>
      </c>
      <c r="BS105" s="48">
        <f t="shared" si="248"/>
        <v>0.1559352805363976</v>
      </c>
      <c r="BT105" s="48">
        <f t="shared" si="249"/>
        <v>0.15488822247230405</v>
      </c>
      <c r="BU105" s="48">
        <f t="shared" si="250"/>
        <v>0.21942719045107917</v>
      </c>
      <c r="BV105" s="48">
        <f t="shared" si="251"/>
        <v>0.2222411503925954</v>
      </c>
      <c r="BW105" s="48">
        <f t="shared" si="252"/>
        <v>7.8904521588676335E-2</v>
      </c>
      <c r="BX105" s="48">
        <f t="shared" si="253"/>
        <v>-1.8623006550648191E-2</v>
      </c>
      <c r="BY105" s="48">
        <f t="shared" si="254"/>
        <v>0.13771221269170031</v>
      </c>
      <c r="BZ105" s="48">
        <f t="shared" si="255"/>
        <v>0.25393679488132292</v>
      </c>
      <c r="CA105" s="48">
        <f t="shared" si="256"/>
        <v>0.13984035819531759</v>
      </c>
      <c r="CB105" s="48">
        <f t="shared" si="257"/>
        <v>2.679444646173379E-2</v>
      </c>
      <c r="CC105" s="48">
        <f t="shared" si="258"/>
        <v>7.4965331210025354E-2</v>
      </c>
      <c r="CD105" s="48">
        <f t="shared" si="259"/>
        <v>-3.0161864312888698E-3</v>
      </c>
      <c r="CE105" s="48">
        <f t="shared" si="260"/>
        <v>0.17220360811728219</v>
      </c>
      <c r="CF105" s="48">
        <f t="shared" si="261"/>
        <v>0.11680529650907023</v>
      </c>
      <c r="CG105" s="48">
        <f t="shared" si="262"/>
        <v>2.924742725277607E-2</v>
      </c>
      <c r="CH105" s="48">
        <f t="shared" si="263"/>
        <v>0.14427719624000379</v>
      </c>
      <c r="CI105" s="48">
        <f t="shared" si="264"/>
        <v>0.21190099270949703</v>
      </c>
      <c r="CJ105" s="48">
        <f t="shared" si="265"/>
        <v>0.37262271690925908</v>
      </c>
      <c r="CK105" s="48">
        <f t="shared" si="266"/>
        <v>0.30281801218693749</v>
      </c>
      <c r="CL105" s="48">
        <f t="shared" si="267"/>
        <v>7.7200016385146286E-2</v>
      </c>
      <c r="CM105" s="48">
        <f t="shared" si="268"/>
        <v>0.1132430015706698</v>
      </c>
      <c r="CN105" s="48">
        <f t="shared" si="269"/>
        <v>0.17753782126266282</v>
      </c>
      <c r="CO105" s="48">
        <f t="shared" si="270"/>
        <v>0.1331902021844118</v>
      </c>
      <c r="CP105" s="48">
        <f t="shared" si="271"/>
        <v>0.12056356845678495</v>
      </c>
      <c r="CQ105" s="48">
        <f t="shared" si="272"/>
        <v>0.16930890739799942</v>
      </c>
      <c r="CR105" s="48">
        <f t="shared" si="273"/>
        <v>8.7166017245097205E-2</v>
      </c>
      <c r="CS105" s="48">
        <f t="shared" si="274"/>
        <v>0.11725822302364874</v>
      </c>
      <c r="CT105" s="48">
        <f t="shared" si="275"/>
        <v>0.20733666239652404</v>
      </c>
      <c r="CU105" s="48">
        <f t="shared" si="276"/>
        <v>3.1930588336298582E-2</v>
      </c>
      <c r="CV105" s="48">
        <f t="shared" si="277"/>
        <v>5.7547830849109527E-3</v>
      </c>
      <c r="CW105" s="48">
        <f t="shared" si="278"/>
        <v>3.9185994732320761E-2</v>
      </c>
      <c r="CX105" s="48">
        <f t="shared" si="279"/>
        <v>7.2427681209106476E-2</v>
      </c>
      <c r="CY105" s="48">
        <f t="shared" si="280"/>
        <v>0.1213330960071819</v>
      </c>
      <c r="CZ105" s="48">
        <f t="shared" si="281"/>
        <v>0.14372316663254625</v>
      </c>
      <c r="DA105" s="48">
        <f t="shared" si="282"/>
        <v>4.9411707894806201E-2</v>
      </c>
      <c r="DB105" s="48">
        <f t="shared" si="283"/>
        <v>9.3324091882091675E-2</v>
      </c>
      <c r="DC105" s="48">
        <f t="shared" si="284"/>
        <v>7.2789113876975842E-2</v>
      </c>
      <c r="DD105" s="48">
        <f t="shared" si="285"/>
        <v>0.2161647569916294</v>
      </c>
      <c r="DE105" s="48">
        <f t="shared" si="286"/>
        <v>0.1169840811849423</v>
      </c>
      <c r="DF105" s="48">
        <f t="shared" si="287"/>
        <v>3.207737478382322E-3</v>
      </c>
      <c r="DG105" s="48">
        <f t="shared" si="288"/>
        <v>0.1782180795466497</v>
      </c>
      <c r="DH105" s="48">
        <f t="shared" si="289"/>
        <v>2.8610631438085399E-2</v>
      </c>
      <c r="DI105" s="48">
        <f t="shared" si="290"/>
        <v>-9.4035066080415675E-3</v>
      </c>
      <c r="DJ105" s="48">
        <f t="shared" si="291"/>
        <v>3.3347157222944457E-2</v>
      </c>
      <c r="DK105" s="48">
        <f t="shared" si="292"/>
        <v>-5.1292825243863804E-3</v>
      </c>
      <c r="DL105" s="48">
        <f t="shared" si="293"/>
        <v>-4.2296139112430464E-2</v>
      </c>
      <c r="DM105" s="48">
        <f t="shared" si="294"/>
        <v>3.0400734672019647E-2</v>
      </c>
      <c r="DN105" s="48">
        <f t="shared" si="295"/>
        <v>6.7324333604850128E-3</v>
      </c>
      <c r="DO105" s="48">
        <f t="shared" si="296"/>
        <v>8.5294518406071607E-3</v>
      </c>
      <c r="DP105" s="48" t="str">
        <f t="shared" si="297"/>
        <v/>
      </c>
      <c r="DQ105" s="48" t="str">
        <f t="shared" si="298"/>
        <v/>
      </c>
      <c r="DR105" s="48" t="str">
        <f t="shared" si="299"/>
        <v/>
      </c>
      <c r="DS105" s="48" t="str">
        <f t="shared" si="300"/>
        <v/>
      </c>
      <c r="DT105" s="48" t="str">
        <f t="shared" si="301"/>
        <v/>
      </c>
      <c r="DU105" s="48" t="str">
        <f t="shared" si="302"/>
        <v/>
      </c>
      <c r="DV105" s="48" t="str">
        <f t="shared" si="303"/>
        <v/>
      </c>
      <c r="DW105" s="48" t="str">
        <f t="shared" si="304"/>
        <v/>
      </c>
      <c r="DX105" s="48" t="str">
        <f t="shared" si="305"/>
        <v/>
      </c>
      <c r="DY105" s="48" t="str">
        <f t="shared" si="306"/>
        <v/>
      </c>
      <c r="DZ105" s="48" t="str">
        <f t="shared" si="307"/>
        <v/>
      </c>
      <c r="EA105" s="48" t="str">
        <f t="shared" si="308"/>
        <v/>
      </c>
      <c r="EB105" s="48" t="str">
        <f t="shared" si="309"/>
        <v/>
      </c>
      <c r="EC105" s="48" t="str">
        <f t="shared" si="310"/>
        <v/>
      </c>
      <c r="ED105" s="48" t="str">
        <f t="shared" si="311"/>
        <v/>
      </c>
      <c r="EE105" s="48" t="str">
        <f t="shared" si="312"/>
        <v/>
      </c>
      <c r="EF105" s="48" t="str">
        <f t="shared" si="313"/>
        <v/>
      </c>
      <c r="EG105" s="48" t="str">
        <f t="shared" si="314"/>
        <v/>
      </c>
      <c r="EH105" s="48" t="str">
        <f t="shared" si="315"/>
        <v/>
      </c>
      <c r="EI105" s="48" t="str">
        <f t="shared" si="316"/>
        <v/>
      </c>
      <c r="EJ105" s="48" t="str">
        <f t="shared" si="317"/>
        <v/>
      </c>
      <c r="EK105" s="48" t="str">
        <f t="shared" si="318"/>
        <v/>
      </c>
      <c r="EL105" s="48" t="str">
        <f t="shared" si="319"/>
        <v/>
      </c>
    </row>
    <row r="106" spans="2:142" x14ac:dyDescent="0.25">
      <c r="B106" s="26">
        <f t="shared" si="195"/>
        <v>15</v>
      </c>
      <c r="C106" s="27" t="str">
        <f t="shared" si="195"/>
        <v>HARINA</v>
      </c>
      <c r="D106" s="24">
        <f t="shared" si="195"/>
        <v>9.7079999999999996E-4</v>
      </c>
      <c r="E106" s="24">
        <f t="shared" si="195"/>
        <v>7.876929068691885E-3</v>
      </c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 t="str">
        <f t="shared" si="196"/>
        <v/>
      </c>
      <c r="T106" s="49" t="str">
        <f t="shared" si="197"/>
        <v/>
      </c>
      <c r="U106" s="49" t="str">
        <f t="shared" si="198"/>
        <v/>
      </c>
      <c r="V106" s="49" t="str">
        <f t="shared" si="199"/>
        <v/>
      </c>
      <c r="W106" s="49" t="str">
        <f t="shared" si="200"/>
        <v/>
      </c>
      <c r="X106" s="49" t="str">
        <f t="shared" si="201"/>
        <v/>
      </c>
      <c r="Y106" s="49" t="str">
        <f t="shared" si="202"/>
        <v/>
      </c>
      <c r="Z106" s="49" t="str">
        <f t="shared" si="203"/>
        <v/>
      </c>
      <c r="AA106" s="49" t="str">
        <f t="shared" si="204"/>
        <v/>
      </c>
      <c r="AB106" s="49" t="str">
        <f t="shared" si="205"/>
        <v/>
      </c>
      <c r="AC106" s="49" t="str">
        <f t="shared" si="206"/>
        <v/>
      </c>
      <c r="AD106" s="49" t="str">
        <f t="shared" si="207"/>
        <v/>
      </c>
      <c r="AE106" s="49" t="str">
        <f t="shared" si="208"/>
        <v/>
      </c>
      <c r="AF106" s="49" t="str">
        <f t="shared" si="209"/>
        <v/>
      </c>
      <c r="AG106" s="49" t="str">
        <f t="shared" si="210"/>
        <v/>
      </c>
      <c r="AH106" s="49" t="str">
        <f t="shared" si="211"/>
        <v/>
      </c>
      <c r="AI106" s="49" t="str">
        <f t="shared" si="212"/>
        <v/>
      </c>
      <c r="AJ106" s="49" t="str">
        <f t="shared" si="213"/>
        <v/>
      </c>
      <c r="AK106" s="49" t="str">
        <f t="shared" si="214"/>
        <v/>
      </c>
      <c r="AL106" s="49" t="str">
        <f t="shared" si="215"/>
        <v/>
      </c>
      <c r="AM106" s="49" t="str">
        <f t="shared" si="216"/>
        <v/>
      </c>
      <c r="AN106" s="49" t="str">
        <f t="shared" si="217"/>
        <v/>
      </c>
      <c r="AO106" s="49" t="str">
        <f t="shared" si="218"/>
        <v/>
      </c>
      <c r="AP106" s="49" t="str">
        <f t="shared" si="219"/>
        <v/>
      </c>
      <c r="AQ106" s="49" t="str">
        <f t="shared" si="220"/>
        <v/>
      </c>
      <c r="AR106" s="49" t="str">
        <f t="shared" si="221"/>
        <v/>
      </c>
      <c r="AS106" s="49" t="str">
        <f t="shared" si="222"/>
        <v/>
      </c>
      <c r="AT106" s="49" t="str">
        <f t="shared" si="223"/>
        <v/>
      </c>
      <c r="AU106" s="49" t="str">
        <f t="shared" si="224"/>
        <v/>
      </c>
      <c r="AV106" s="49" t="str">
        <f t="shared" si="225"/>
        <v/>
      </c>
      <c r="AW106" s="49" t="str">
        <f t="shared" si="226"/>
        <v/>
      </c>
      <c r="AX106" s="49" t="str">
        <f t="shared" si="227"/>
        <v/>
      </c>
      <c r="AY106" s="49" t="str">
        <f t="shared" si="228"/>
        <v/>
      </c>
      <c r="AZ106" s="49" t="str">
        <f t="shared" si="229"/>
        <v/>
      </c>
      <c r="BA106" s="49" t="str">
        <f t="shared" si="230"/>
        <v/>
      </c>
      <c r="BB106" s="49" t="str">
        <f t="shared" si="231"/>
        <v/>
      </c>
      <c r="BC106" s="49" t="str">
        <f t="shared" si="232"/>
        <v/>
      </c>
      <c r="BD106" s="49" t="str">
        <f t="shared" si="233"/>
        <v/>
      </c>
      <c r="BE106" s="49" t="str">
        <f t="shared" si="234"/>
        <v/>
      </c>
      <c r="BF106" s="49" t="str">
        <f t="shared" si="235"/>
        <v/>
      </c>
      <c r="BG106" s="49" t="str">
        <f t="shared" si="236"/>
        <v/>
      </c>
      <c r="BH106" s="49" t="str">
        <f t="shared" si="237"/>
        <v/>
      </c>
      <c r="BI106" s="49" t="str">
        <f t="shared" si="238"/>
        <v/>
      </c>
      <c r="BJ106" s="49" t="str">
        <f t="shared" si="239"/>
        <v/>
      </c>
      <c r="BK106" s="49" t="str">
        <f t="shared" si="240"/>
        <v/>
      </c>
      <c r="BL106" s="49" t="str">
        <f t="shared" si="241"/>
        <v/>
      </c>
      <c r="BM106" s="49" t="str">
        <f t="shared" si="242"/>
        <v/>
      </c>
      <c r="BN106" s="49" t="str">
        <f t="shared" si="243"/>
        <v/>
      </c>
      <c r="BO106" s="49" t="str">
        <f t="shared" si="244"/>
        <v/>
      </c>
      <c r="BP106" s="49" t="str">
        <f t="shared" si="245"/>
        <v/>
      </c>
      <c r="BQ106" s="49" t="str">
        <f t="shared" si="246"/>
        <v/>
      </c>
      <c r="BR106" s="49" t="str">
        <f t="shared" si="247"/>
        <v/>
      </c>
      <c r="BS106" s="49" t="str">
        <f t="shared" si="248"/>
        <v/>
      </c>
      <c r="BT106" s="49" t="str">
        <f t="shared" si="249"/>
        <v/>
      </c>
      <c r="BU106" s="49" t="str">
        <f t="shared" si="250"/>
        <v/>
      </c>
      <c r="BV106" s="49" t="str">
        <f t="shared" si="251"/>
        <v/>
      </c>
      <c r="BW106" s="49" t="str">
        <f t="shared" si="252"/>
        <v/>
      </c>
      <c r="BX106" s="49" t="str">
        <f t="shared" si="253"/>
        <v/>
      </c>
      <c r="BY106" s="49" t="str">
        <f t="shared" si="254"/>
        <v/>
      </c>
      <c r="BZ106" s="49" t="str">
        <f t="shared" si="255"/>
        <v/>
      </c>
      <c r="CA106" s="49">
        <f t="shared" si="256"/>
        <v>2.6893898948490147E-3</v>
      </c>
      <c r="CB106" s="49">
        <f t="shared" si="257"/>
        <v>-6.3072851943020147E-3</v>
      </c>
      <c r="CC106" s="49">
        <f t="shared" si="258"/>
        <v>-1.5929466499634004E-2</v>
      </c>
      <c r="CD106" s="49">
        <f t="shared" si="259"/>
        <v>-1.3245939136077411E-2</v>
      </c>
      <c r="CE106" s="49">
        <f t="shared" si="260"/>
        <v>-1.4472297326004191E-2</v>
      </c>
      <c r="CF106" s="49">
        <f t="shared" si="261"/>
        <v>-1.7361618406038004E-2</v>
      </c>
      <c r="CG106" s="49">
        <f t="shared" si="262"/>
        <v>-2.9311469536392742E-3</v>
      </c>
      <c r="CH106" s="49">
        <f t="shared" si="263"/>
        <v>5.006269392273488E-2</v>
      </c>
      <c r="CI106" s="49">
        <f t="shared" si="264"/>
        <v>8.1489586718211937E-2</v>
      </c>
      <c r="CJ106" s="49">
        <f t="shared" si="265"/>
        <v>5.9406031363499867E-2</v>
      </c>
      <c r="CK106" s="49">
        <f t="shared" si="266"/>
        <v>6.8681467827283793E-2</v>
      </c>
      <c r="CL106" s="49">
        <f t="shared" si="267"/>
        <v>6.7948621373969065E-2</v>
      </c>
      <c r="CM106" s="49">
        <f t="shared" si="268"/>
        <v>7.4959138613747811E-2</v>
      </c>
      <c r="CN106" s="49">
        <f t="shared" si="269"/>
        <v>7.4241185136340038E-2</v>
      </c>
      <c r="CO106" s="49">
        <f t="shared" si="270"/>
        <v>7.2810509967943249E-2</v>
      </c>
      <c r="CP106" s="49">
        <f t="shared" si="271"/>
        <v>7.8880626761798522E-2</v>
      </c>
      <c r="CQ106" s="49">
        <f t="shared" si="272"/>
        <v>9.0423451540735611E-2</v>
      </c>
      <c r="CR106" s="49">
        <f t="shared" si="273"/>
        <v>8.7914300950827418E-2</v>
      </c>
      <c r="CS106" s="49">
        <f t="shared" si="274"/>
        <v>8.0374310516842407E-2</v>
      </c>
      <c r="CT106" s="49">
        <f t="shared" si="275"/>
        <v>4.627276061219443E-2</v>
      </c>
      <c r="CU106" s="49">
        <f t="shared" si="276"/>
        <v>3.2881372718469581E-2</v>
      </c>
      <c r="CV106" s="49">
        <f t="shared" si="277"/>
        <v>6.6139806988714689E-2</v>
      </c>
      <c r="CW106" s="49">
        <f t="shared" si="278"/>
        <v>8.6658295521206519E-2</v>
      </c>
      <c r="CX106" s="49">
        <f t="shared" si="279"/>
        <v>8.1464665130756675E-2</v>
      </c>
      <c r="CY106" s="49">
        <f t="shared" si="280"/>
        <v>6.0379075430945894E-2</v>
      </c>
      <c r="CZ106" s="49">
        <f t="shared" si="281"/>
        <v>5.6792977763236774E-2</v>
      </c>
      <c r="DA106" s="49">
        <f t="shared" si="282"/>
        <v>5.4008949204042533E-2</v>
      </c>
      <c r="DB106" s="49">
        <f t="shared" si="283"/>
        <v>4.0902379421273283E-2</v>
      </c>
      <c r="DC106" s="49">
        <f t="shared" si="284"/>
        <v>1.4504714911764083E-2</v>
      </c>
      <c r="DD106" s="49">
        <f t="shared" si="285"/>
        <v>3.216694443697099E-3</v>
      </c>
      <c r="DE106" s="49">
        <f t="shared" si="286"/>
        <v>1.53941674969853E-2</v>
      </c>
      <c r="DF106" s="49">
        <f t="shared" si="287"/>
        <v>1.7578619691784425E-2</v>
      </c>
      <c r="DG106" s="49">
        <f t="shared" si="288"/>
        <v>-6.3166461493427972E-3</v>
      </c>
      <c r="DH106" s="49">
        <f t="shared" si="289"/>
        <v>-2.9934288947528365E-2</v>
      </c>
      <c r="DI106" s="49">
        <f t="shared" si="290"/>
        <v>-3.9172598965509176E-2</v>
      </c>
      <c r="DJ106" s="49">
        <f t="shared" si="291"/>
        <v>-3.1118214820902712E-2</v>
      </c>
      <c r="DK106" s="49">
        <f t="shared" si="292"/>
        <v>-1.7269101821038468E-2</v>
      </c>
      <c r="DL106" s="49">
        <f t="shared" si="293"/>
        <v>-2.4306485532525346E-2</v>
      </c>
      <c r="DM106" s="49">
        <f t="shared" si="294"/>
        <v>-1.5372220361437372E-2</v>
      </c>
      <c r="DN106" s="49">
        <f t="shared" si="295"/>
        <v>1.9520782180701968E-3</v>
      </c>
      <c r="DO106" s="49">
        <f t="shared" si="296"/>
        <v>1.2797798268284089E-2</v>
      </c>
      <c r="DP106" s="49" t="str">
        <f t="shared" si="297"/>
        <v/>
      </c>
      <c r="DQ106" s="49" t="str">
        <f t="shared" si="298"/>
        <v/>
      </c>
      <c r="DR106" s="49" t="str">
        <f t="shared" si="299"/>
        <v/>
      </c>
      <c r="DS106" s="49" t="str">
        <f t="shared" si="300"/>
        <v/>
      </c>
      <c r="DT106" s="49" t="str">
        <f t="shared" si="301"/>
        <v/>
      </c>
      <c r="DU106" s="49" t="str">
        <f t="shared" si="302"/>
        <v/>
      </c>
      <c r="DV106" s="49" t="str">
        <f t="shared" si="303"/>
        <v/>
      </c>
      <c r="DW106" s="49" t="str">
        <f t="shared" si="304"/>
        <v/>
      </c>
      <c r="DX106" s="49" t="str">
        <f t="shared" si="305"/>
        <v/>
      </c>
      <c r="DY106" s="49" t="str">
        <f t="shared" si="306"/>
        <v/>
      </c>
      <c r="DZ106" s="49" t="str">
        <f t="shared" si="307"/>
        <v/>
      </c>
      <c r="EA106" s="49" t="str">
        <f t="shared" si="308"/>
        <v/>
      </c>
      <c r="EB106" s="49" t="str">
        <f t="shared" si="309"/>
        <v/>
      </c>
      <c r="EC106" s="49" t="str">
        <f t="shared" si="310"/>
        <v/>
      </c>
      <c r="ED106" s="49" t="str">
        <f t="shared" si="311"/>
        <v/>
      </c>
      <c r="EE106" s="49" t="str">
        <f t="shared" si="312"/>
        <v/>
      </c>
      <c r="EF106" s="49" t="str">
        <f t="shared" si="313"/>
        <v/>
      </c>
      <c r="EG106" s="49" t="str">
        <f t="shared" si="314"/>
        <v/>
      </c>
      <c r="EH106" s="49" t="str">
        <f t="shared" si="315"/>
        <v/>
      </c>
      <c r="EI106" s="49" t="str">
        <f t="shared" si="316"/>
        <v/>
      </c>
      <c r="EJ106" s="49" t="str">
        <f t="shared" si="317"/>
        <v/>
      </c>
      <c r="EK106" s="49" t="str">
        <f t="shared" si="318"/>
        <v/>
      </c>
      <c r="EL106" s="49" t="str">
        <f t="shared" si="319"/>
        <v/>
      </c>
    </row>
    <row r="107" spans="2:142" x14ac:dyDescent="0.25">
      <c r="B107" s="30">
        <f t="shared" si="195"/>
        <v>16</v>
      </c>
      <c r="C107" s="31" t="str">
        <f t="shared" si="195"/>
        <v>CEBOLLA Y CEBOLLÍN</v>
      </c>
      <c r="D107" s="32">
        <f t="shared" si="195"/>
        <v>1.3286999999999999E-3</v>
      </c>
      <c r="E107" s="32">
        <f t="shared" si="195"/>
        <v>1.0780877269850544E-2</v>
      </c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 t="str">
        <f t="shared" si="196"/>
        <v/>
      </c>
      <c r="T107" s="50" t="str">
        <f t="shared" si="197"/>
        <v/>
      </c>
      <c r="U107" s="50" t="str">
        <f t="shared" si="198"/>
        <v/>
      </c>
      <c r="V107" s="50" t="str">
        <f t="shared" si="199"/>
        <v/>
      </c>
      <c r="W107" s="50" t="str">
        <f t="shared" si="200"/>
        <v/>
      </c>
      <c r="X107" s="50" t="str">
        <f t="shared" si="201"/>
        <v/>
      </c>
      <c r="Y107" s="50" t="str">
        <f t="shared" si="202"/>
        <v/>
      </c>
      <c r="Z107" s="50" t="str">
        <f t="shared" si="203"/>
        <v/>
      </c>
      <c r="AA107" s="50" t="str">
        <f t="shared" si="204"/>
        <v/>
      </c>
      <c r="AB107" s="50" t="str">
        <f t="shared" si="205"/>
        <v/>
      </c>
      <c r="AC107" s="50" t="str">
        <f t="shared" si="206"/>
        <v/>
      </c>
      <c r="AD107" s="50" t="str">
        <f t="shared" si="207"/>
        <v/>
      </c>
      <c r="AE107" s="50" t="str">
        <f t="shared" si="208"/>
        <v/>
      </c>
      <c r="AF107" s="50" t="str">
        <f t="shared" si="209"/>
        <v/>
      </c>
      <c r="AG107" s="50" t="str">
        <f t="shared" si="210"/>
        <v/>
      </c>
      <c r="AH107" s="50" t="str">
        <f t="shared" si="211"/>
        <v/>
      </c>
      <c r="AI107" s="50" t="str">
        <f t="shared" si="212"/>
        <v/>
      </c>
      <c r="AJ107" s="50" t="str">
        <f t="shared" si="213"/>
        <v/>
      </c>
      <c r="AK107" s="50" t="str">
        <f t="shared" si="214"/>
        <v/>
      </c>
      <c r="AL107" s="50" t="str">
        <f t="shared" si="215"/>
        <v/>
      </c>
      <c r="AM107" s="50" t="str">
        <f t="shared" si="216"/>
        <v/>
      </c>
      <c r="AN107" s="50" t="str">
        <f t="shared" si="217"/>
        <v/>
      </c>
      <c r="AO107" s="50" t="str">
        <f t="shared" si="218"/>
        <v/>
      </c>
      <c r="AP107" s="50" t="str">
        <f t="shared" si="219"/>
        <v/>
      </c>
      <c r="AQ107" s="50" t="str">
        <f t="shared" si="220"/>
        <v/>
      </c>
      <c r="AR107" s="50" t="str">
        <f t="shared" si="221"/>
        <v/>
      </c>
      <c r="AS107" s="50" t="str">
        <f t="shared" si="222"/>
        <v/>
      </c>
      <c r="AT107" s="50" t="str">
        <f t="shared" si="223"/>
        <v/>
      </c>
      <c r="AU107" s="50" t="str">
        <f t="shared" si="224"/>
        <v/>
      </c>
      <c r="AV107" s="50" t="str">
        <f t="shared" si="225"/>
        <v/>
      </c>
      <c r="AW107" s="50" t="str">
        <f t="shared" si="226"/>
        <v/>
      </c>
      <c r="AX107" s="50" t="str">
        <f t="shared" si="227"/>
        <v/>
      </c>
      <c r="AY107" s="50" t="str">
        <f t="shared" si="228"/>
        <v/>
      </c>
      <c r="AZ107" s="50" t="str">
        <f t="shared" si="229"/>
        <v/>
      </c>
      <c r="BA107" s="50" t="str">
        <f t="shared" si="230"/>
        <v/>
      </c>
      <c r="BB107" s="50" t="str">
        <f t="shared" si="231"/>
        <v/>
      </c>
      <c r="BC107" s="50" t="str">
        <f t="shared" si="232"/>
        <v/>
      </c>
      <c r="BD107" s="50" t="str">
        <f t="shared" si="233"/>
        <v/>
      </c>
      <c r="BE107" s="50" t="str">
        <f t="shared" si="234"/>
        <v/>
      </c>
      <c r="BF107" s="50" t="str">
        <f t="shared" si="235"/>
        <v/>
      </c>
      <c r="BG107" s="50" t="str">
        <f t="shared" si="236"/>
        <v/>
      </c>
      <c r="BH107" s="50" t="str">
        <f t="shared" si="237"/>
        <v/>
      </c>
      <c r="BI107" s="50" t="str">
        <f t="shared" si="238"/>
        <v/>
      </c>
      <c r="BJ107" s="50" t="str">
        <f t="shared" si="239"/>
        <v/>
      </c>
      <c r="BK107" s="50" t="str">
        <f t="shared" si="240"/>
        <v/>
      </c>
      <c r="BL107" s="50" t="str">
        <f t="shared" si="241"/>
        <v/>
      </c>
      <c r="BM107" s="50" t="str">
        <f t="shared" si="242"/>
        <v/>
      </c>
      <c r="BN107" s="50" t="str">
        <f t="shared" si="243"/>
        <v/>
      </c>
      <c r="BO107" s="50" t="str">
        <f t="shared" si="244"/>
        <v/>
      </c>
      <c r="BP107" s="50" t="str">
        <f t="shared" si="245"/>
        <v/>
      </c>
      <c r="BQ107" s="50" t="str">
        <f t="shared" si="246"/>
        <v/>
      </c>
      <c r="BR107" s="50" t="str">
        <f t="shared" si="247"/>
        <v/>
      </c>
      <c r="BS107" s="50" t="str">
        <f t="shared" si="248"/>
        <v/>
      </c>
      <c r="BT107" s="50" t="str">
        <f t="shared" si="249"/>
        <v/>
      </c>
      <c r="BU107" s="50" t="str">
        <f t="shared" si="250"/>
        <v/>
      </c>
      <c r="BV107" s="50" t="str">
        <f t="shared" si="251"/>
        <v/>
      </c>
      <c r="BW107" s="50" t="str">
        <f t="shared" si="252"/>
        <v/>
      </c>
      <c r="BX107" s="50" t="str">
        <f t="shared" si="253"/>
        <v/>
      </c>
      <c r="BY107" s="50" t="str">
        <f t="shared" si="254"/>
        <v/>
      </c>
      <c r="BZ107" s="50" t="str">
        <f t="shared" si="255"/>
        <v/>
      </c>
      <c r="CA107" s="50">
        <f t="shared" si="256"/>
        <v>-0.30112851887940628</v>
      </c>
      <c r="CB107" s="50">
        <f t="shared" si="257"/>
        <v>-0.29691136037444044</v>
      </c>
      <c r="CC107" s="50">
        <f t="shared" si="258"/>
        <v>-0.31960348722042731</v>
      </c>
      <c r="CD107" s="50">
        <f t="shared" si="259"/>
        <v>-0.33478367606264092</v>
      </c>
      <c r="CE107" s="50">
        <f t="shared" si="260"/>
        <v>-0.2979308005406851</v>
      </c>
      <c r="CF107" s="50">
        <f t="shared" si="261"/>
        <v>-0.34219924617428121</v>
      </c>
      <c r="CG107" s="50">
        <f t="shared" si="262"/>
        <v>-0.35119841193073442</v>
      </c>
      <c r="CH107" s="50">
        <f t="shared" si="263"/>
        <v>-0.41570764296881846</v>
      </c>
      <c r="CI107" s="50">
        <f t="shared" si="264"/>
        <v>-0.4201624166155008</v>
      </c>
      <c r="CJ107" s="50">
        <f t="shared" si="265"/>
        <v>-0.41732464072950171</v>
      </c>
      <c r="CK107" s="50">
        <f t="shared" si="266"/>
        <v>-0.29382620226456035</v>
      </c>
      <c r="CL107" s="50">
        <f t="shared" si="267"/>
        <v>-0.14176771230633844</v>
      </c>
      <c r="CM107" s="50">
        <f t="shared" si="268"/>
        <v>8.4318562536254138E-3</v>
      </c>
      <c r="CN107" s="50">
        <f t="shared" si="269"/>
        <v>0.1389516756576874</v>
      </c>
      <c r="CO107" s="50">
        <f t="shared" si="270"/>
        <v>0.20731755879803293</v>
      </c>
      <c r="CP107" s="50">
        <f t="shared" si="271"/>
        <v>0.23012697936928328</v>
      </c>
      <c r="CQ107" s="50">
        <f t="shared" si="272"/>
        <v>0.14212162434507469</v>
      </c>
      <c r="CR107" s="50">
        <f t="shared" si="273"/>
        <v>0.37893672942776235</v>
      </c>
      <c r="CS107" s="50">
        <f t="shared" si="274"/>
        <v>0.52580069745662672</v>
      </c>
      <c r="CT107" s="50">
        <f t="shared" si="275"/>
        <v>0.97369073713401333</v>
      </c>
      <c r="CU107" s="50">
        <f t="shared" si="276"/>
        <v>0.96935791368700674</v>
      </c>
      <c r="CV107" s="50">
        <f t="shared" si="277"/>
        <v>0.81941416181718529</v>
      </c>
      <c r="CW107" s="50">
        <f t="shared" si="278"/>
        <v>0.91895634477700994</v>
      </c>
      <c r="CX107" s="50">
        <f t="shared" si="279"/>
        <v>0.78986014770016055</v>
      </c>
      <c r="CY107" s="50">
        <f t="shared" si="280"/>
        <v>0.39900251561852085</v>
      </c>
      <c r="CZ107" s="50">
        <f t="shared" si="281"/>
        <v>0.25127657785764379</v>
      </c>
      <c r="DA107" s="50">
        <f t="shared" si="282"/>
        <v>0.34396249564809045</v>
      </c>
      <c r="DB107" s="50">
        <f t="shared" si="283"/>
        <v>0.4828694502239157</v>
      </c>
      <c r="DC107" s="50">
        <f t="shared" si="284"/>
        <v>0.51467796641490149</v>
      </c>
      <c r="DD107" s="50">
        <f t="shared" si="285"/>
        <v>0.35162237819900355</v>
      </c>
      <c r="DE107" s="50">
        <f t="shared" si="286"/>
        <v>0.22447224632775753</v>
      </c>
      <c r="DF107" s="50">
        <f t="shared" si="287"/>
        <v>4.2355047884712338E-3</v>
      </c>
      <c r="DG107" s="50">
        <f t="shared" si="288"/>
        <v>-8.5769575875164206E-2</v>
      </c>
      <c r="DH107" s="50">
        <f t="shared" si="289"/>
        <v>-8.1359342371499888E-2</v>
      </c>
      <c r="DI107" s="50">
        <f t="shared" si="290"/>
        <v>-0.18953897415508536</v>
      </c>
      <c r="DJ107" s="50">
        <f t="shared" si="291"/>
        <v>-9.7314583599847126E-2</v>
      </c>
      <c r="DK107" s="50">
        <f t="shared" si="292"/>
        <v>4.7564905580165684E-2</v>
      </c>
      <c r="DL107" s="50">
        <f t="shared" si="293"/>
        <v>-4.5917739261931767E-2</v>
      </c>
      <c r="DM107" s="50">
        <f t="shared" si="294"/>
        <v>-0.1135133452372995</v>
      </c>
      <c r="DN107" s="50">
        <f t="shared" si="295"/>
        <v>-0.2989940005983569</v>
      </c>
      <c r="DO107" s="50">
        <f t="shared" si="296"/>
        <v>-0.37243671227437591</v>
      </c>
      <c r="DP107" s="50" t="str">
        <f t="shared" si="297"/>
        <v/>
      </c>
      <c r="DQ107" s="50" t="str">
        <f t="shared" si="298"/>
        <v/>
      </c>
      <c r="DR107" s="50" t="str">
        <f t="shared" si="299"/>
        <v/>
      </c>
      <c r="DS107" s="50" t="str">
        <f t="shared" si="300"/>
        <v/>
      </c>
      <c r="DT107" s="50" t="str">
        <f t="shared" si="301"/>
        <v/>
      </c>
      <c r="DU107" s="50" t="str">
        <f t="shared" si="302"/>
        <v/>
      </c>
      <c r="DV107" s="50" t="str">
        <f t="shared" si="303"/>
        <v/>
      </c>
      <c r="DW107" s="50" t="str">
        <f t="shared" si="304"/>
        <v/>
      </c>
      <c r="DX107" s="50" t="str">
        <f t="shared" si="305"/>
        <v/>
      </c>
      <c r="DY107" s="50" t="str">
        <f t="shared" si="306"/>
        <v/>
      </c>
      <c r="DZ107" s="50" t="str">
        <f t="shared" si="307"/>
        <v/>
      </c>
      <c r="EA107" s="50" t="str">
        <f t="shared" si="308"/>
        <v/>
      </c>
      <c r="EB107" s="50" t="str">
        <f t="shared" si="309"/>
        <v/>
      </c>
      <c r="EC107" s="50" t="str">
        <f t="shared" si="310"/>
        <v/>
      </c>
      <c r="ED107" s="50" t="str">
        <f t="shared" si="311"/>
        <v/>
      </c>
      <c r="EE107" s="50" t="str">
        <f t="shared" si="312"/>
        <v/>
      </c>
      <c r="EF107" s="50" t="str">
        <f t="shared" si="313"/>
        <v/>
      </c>
      <c r="EG107" s="50" t="str">
        <f t="shared" si="314"/>
        <v/>
      </c>
      <c r="EH107" s="50" t="str">
        <f t="shared" si="315"/>
        <v/>
      </c>
      <c r="EI107" s="50" t="str">
        <f t="shared" si="316"/>
        <v/>
      </c>
      <c r="EJ107" s="50" t="str">
        <f t="shared" si="317"/>
        <v/>
      </c>
      <c r="EK107" s="50" t="str">
        <f t="shared" si="318"/>
        <v/>
      </c>
      <c r="EL107" s="50" t="str">
        <f t="shared" si="319"/>
        <v/>
      </c>
    </row>
    <row r="108" spans="2:142" x14ac:dyDescent="0.25">
      <c r="B108" s="34">
        <f t="shared" si="195"/>
        <v>17</v>
      </c>
      <c r="C108" s="35" t="str">
        <f t="shared" si="195"/>
        <v>ACELGA Y ESPINACA</v>
      </c>
      <c r="D108" s="36">
        <f t="shared" si="195"/>
        <v>4.3379999999999997E-4</v>
      </c>
      <c r="E108" s="36">
        <f t="shared" si="195"/>
        <v>3.5197896889148537E-3</v>
      </c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 t="str">
        <f t="shared" si="196"/>
        <v/>
      </c>
      <c r="T108" s="51" t="str">
        <f t="shared" si="197"/>
        <v/>
      </c>
      <c r="U108" s="51" t="str">
        <f t="shared" si="198"/>
        <v/>
      </c>
      <c r="V108" s="51" t="str">
        <f t="shared" si="199"/>
        <v/>
      </c>
      <c r="W108" s="51" t="str">
        <f t="shared" si="200"/>
        <v/>
      </c>
      <c r="X108" s="51" t="str">
        <f t="shared" si="201"/>
        <v/>
      </c>
      <c r="Y108" s="51" t="str">
        <f t="shared" si="202"/>
        <v/>
      </c>
      <c r="Z108" s="51" t="str">
        <f t="shared" si="203"/>
        <v/>
      </c>
      <c r="AA108" s="51" t="str">
        <f t="shared" si="204"/>
        <v/>
      </c>
      <c r="AB108" s="51" t="str">
        <f t="shared" si="205"/>
        <v/>
      </c>
      <c r="AC108" s="51" t="str">
        <f t="shared" si="206"/>
        <v/>
      </c>
      <c r="AD108" s="51" t="str">
        <f t="shared" si="207"/>
        <v/>
      </c>
      <c r="AE108" s="51" t="str">
        <f t="shared" si="208"/>
        <v/>
      </c>
      <c r="AF108" s="51" t="str">
        <f t="shared" si="209"/>
        <v/>
      </c>
      <c r="AG108" s="51" t="str">
        <f t="shared" si="210"/>
        <v/>
      </c>
      <c r="AH108" s="51" t="str">
        <f t="shared" si="211"/>
        <v/>
      </c>
      <c r="AI108" s="51" t="str">
        <f t="shared" si="212"/>
        <v/>
      </c>
      <c r="AJ108" s="51" t="str">
        <f t="shared" si="213"/>
        <v/>
      </c>
      <c r="AK108" s="51" t="str">
        <f t="shared" si="214"/>
        <v/>
      </c>
      <c r="AL108" s="51" t="str">
        <f t="shared" si="215"/>
        <v/>
      </c>
      <c r="AM108" s="51" t="str">
        <f t="shared" si="216"/>
        <v/>
      </c>
      <c r="AN108" s="51" t="str">
        <f t="shared" si="217"/>
        <v/>
      </c>
      <c r="AO108" s="51" t="str">
        <f t="shared" si="218"/>
        <v/>
      </c>
      <c r="AP108" s="51" t="str">
        <f t="shared" si="219"/>
        <v/>
      </c>
      <c r="AQ108" s="51" t="str">
        <f t="shared" si="220"/>
        <v/>
      </c>
      <c r="AR108" s="51" t="str">
        <f t="shared" si="221"/>
        <v/>
      </c>
      <c r="AS108" s="51" t="str">
        <f t="shared" si="222"/>
        <v/>
      </c>
      <c r="AT108" s="51" t="str">
        <f t="shared" si="223"/>
        <v/>
      </c>
      <c r="AU108" s="51" t="str">
        <f t="shared" si="224"/>
        <v/>
      </c>
      <c r="AV108" s="51" t="str">
        <f t="shared" si="225"/>
        <v/>
      </c>
      <c r="AW108" s="51" t="str">
        <f t="shared" si="226"/>
        <v/>
      </c>
      <c r="AX108" s="51" t="str">
        <f t="shared" si="227"/>
        <v/>
      </c>
      <c r="AY108" s="51" t="str">
        <f t="shared" si="228"/>
        <v/>
      </c>
      <c r="AZ108" s="51" t="str">
        <f t="shared" si="229"/>
        <v/>
      </c>
      <c r="BA108" s="51" t="str">
        <f t="shared" si="230"/>
        <v/>
      </c>
      <c r="BB108" s="51" t="str">
        <f t="shared" si="231"/>
        <v/>
      </c>
      <c r="BC108" s="51" t="str">
        <f t="shared" si="232"/>
        <v/>
      </c>
      <c r="BD108" s="51" t="str">
        <f t="shared" si="233"/>
        <v/>
      </c>
      <c r="BE108" s="51" t="str">
        <f t="shared" si="234"/>
        <v/>
      </c>
      <c r="BF108" s="51" t="str">
        <f t="shared" si="235"/>
        <v/>
      </c>
      <c r="BG108" s="51" t="str">
        <f t="shared" si="236"/>
        <v/>
      </c>
      <c r="BH108" s="51" t="str">
        <f t="shared" si="237"/>
        <v/>
      </c>
      <c r="BI108" s="51" t="str">
        <f t="shared" si="238"/>
        <v/>
      </c>
      <c r="BJ108" s="51" t="str">
        <f t="shared" si="239"/>
        <v/>
      </c>
      <c r="BK108" s="51" t="str">
        <f t="shared" si="240"/>
        <v/>
      </c>
      <c r="BL108" s="51" t="str">
        <f t="shared" si="241"/>
        <v/>
      </c>
      <c r="BM108" s="51" t="str">
        <f t="shared" si="242"/>
        <v/>
      </c>
      <c r="BN108" s="51" t="str">
        <f t="shared" si="243"/>
        <v/>
      </c>
      <c r="BO108" s="51" t="str">
        <f t="shared" si="244"/>
        <v/>
      </c>
      <c r="BP108" s="51" t="str">
        <f t="shared" si="245"/>
        <v/>
      </c>
      <c r="BQ108" s="51" t="str">
        <f t="shared" si="246"/>
        <v/>
      </c>
      <c r="BR108" s="51" t="str">
        <f t="shared" si="247"/>
        <v/>
      </c>
      <c r="BS108" s="51" t="str">
        <f t="shared" si="248"/>
        <v/>
      </c>
      <c r="BT108" s="51" t="str">
        <f t="shared" si="249"/>
        <v/>
      </c>
      <c r="BU108" s="51" t="str">
        <f t="shared" si="250"/>
        <v/>
      </c>
      <c r="BV108" s="51" t="str">
        <f t="shared" si="251"/>
        <v/>
      </c>
      <c r="BW108" s="51" t="str">
        <f t="shared" si="252"/>
        <v/>
      </c>
      <c r="BX108" s="51" t="str">
        <f t="shared" si="253"/>
        <v/>
      </c>
      <c r="BY108" s="51" t="str">
        <f t="shared" si="254"/>
        <v/>
      </c>
      <c r="BZ108" s="51" t="str">
        <f t="shared" si="255"/>
        <v/>
      </c>
      <c r="CA108" s="51" t="str">
        <f t="shared" si="256"/>
        <v/>
      </c>
      <c r="CB108" s="51" t="str">
        <f t="shared" si="257"/>
        <v/>
      </c>
      <c r="CC108" s="51" t="str">
        <f t="shared" si="258"/>
        <v/>
      </c>
      <c r="CD108" s="51">
        <f t="shared" si="259"/>
        <v>0.18606553633055745</v>
      </c>
      <c r="CE108" s="51">
        <f t="shared" si="260"/>
        <v>0.16889775812983121</v>
      </c>
      <c r="CF108" s="51">
        <f t="shared" si="261"/>
        <v>9.7886924223911098E-2</v>
      </c>
      <c r="CG108" s="51">
        <f t="shared" si="262"/>
        <v>8.8597987151305624E-2</v>
      </c>
      <c r="CH108" s="51">
        <f t="shared" si="263"/>
        <v>6.2152213169956116E-2</v>
      </c>
      <c r="CI108" s="51">
        <f t="shared" si="264"/>
        <v>7.4497727888345633E-2</v>
      </c>
      <c r="CJ108" s="51">
        <f t="shared" si="265"/>
        <v>1.3566152811681942E-2</v>
      </c>
      <c r="CK108" s="51">
        <f t="shared" si="266"/>
        <v>8.2102686252434109E-2</v>
      </c>
      <c r="CL108" s="51">
        <f t="shared" si="267"/>
        <v>0.14078069158026851</v>
      </c>
      <c r="CM108" s="51">
        <f t="shared" si="268"/>
        <v>-3.1550580316756172E-2</v>
      </c>
      <c r="CN108" s="51">
        <f t="shared" si="269"/>
        <v>8.8806073145883069E-2</v>
      </c>
      <c r="CO108" s="51">
        <f t="shared" si="270"/>
        <v>0.15202477429092331</v>
      </c>
      <c r="CP108" s="51">
        <f t="shared" si="271"/>
        <v>0.11175333726858727</v>
      </c>
      <c r="CQ108" s="51">
        <f t="shared" si="272"/>
        <v>7.3196462444936827E-2</v>
      </c>
      <c r="CR108" s="51">
        <f t="shared" si="273"/>
        <v>5.4685208343223213E-2</v>
      </c>
      <c r="CS108" s="51">
        <f t="shared" si="274"/>
        <v>4.200258309300775E-2</v>
      </c>
      <c r="CT108" s="51">
        <f t="shared" si="275"/>
        <v>0.10791400449912802</v>
      </c>
      <c r="CU108" s="51">
        <f t="shared" si="276"/>
        <v>2.1651299739719132E-2</v>
      </c>
      <c r="CV108" s="51">
        <f t="shared" si="277"/>
        <v>5.9597995930996905E-2</v>
      </c>
      <c r="CW108" s="51">
        <f t="shared" si="278"/>
        <v>-2.1473769940608012E-2</v>
      </c>
      <c r="CX108" s="51">
        <f t="shared" si="279"/>
        <v>2.1583566609550964E-4</v>
      </c>
      <c r="CY108" s="51">
        <f t="shared" si="280"/>
        <v>0.10813698478566969</v>
      </c>
      <c r="CZ108" s="51">
        <f t="shared" si="281"/>
        <v>8.4127861225694378E-2</v>
      </c>
      <c r="DA108" s="51">
        <f t="shared" si="282"/>
        <v>2.8015591244514582E-2</v>
      </c>
      <c r="DB108" s="51">
        <f t="shared" si="283"/>
        <v>5.5194572766812611E-2</v>
      </c>
      <c r="DC108" s="51">
        <f t="shared" si="284"/>
        <v>0.13138708114076425</v>
      </c>
      <c r="DD108" s="51">
        <f t="shared" si="285"/>
        <v>0.16622113183258747</v>
      </c>
      <c r="DE108" s="51">
        <f t="shared" si="286"/>
        <v>0.19785833438317635</v>
      </c>
      <c r="DF108" s="51">
        <f t="shared" si="287"/>
        <v>8.7435881707784491E-2</v>
      </c>
      <c r="DG108" s="51">
        <f t="shared" si="288"/>
        <v>0.20040405671941652</v>
      </c>
      <c r="DH108" s="51">
        <f t="shared" si="289"/>
        <v>0.12873528895713071</v>
      </c>
      <c r="DI108" s="51">
        <f t="shared" si="290"/>
        <v>3.3736940898310808E-2</v>
      </c>
      <c r="DJ108" s="51">
        <f t="shared" si="291"/>
        <v>-5.0116676108152847E-2</v>
      </c>
      <c r="DK108" s="51">
        <f t="shared" si="292"/>
        <v>8.8680168271006998E-3</v>
      </c>
      <c r="DL108" s="51">
        <f t="shared" si="293"/>
        <v>2.9760140793325673E-2</v>
      </c>
      <c r="DM108" s="51">
        <f t="shared" si="294"/>
        <v>4.8106290348067349E-2</v>
      </c>
      <c r="DN108" s="51">
        <f t="shared" si="295"/>
        <v>2.9228572532927544E-2</v>
      </c>
      <c r="DO108" s="51">
        <f t="shared" si="296"/>
        <v>-6.2841265968406668E-2</v>
      </c>
      <c r="DP108" s="51" t="str">
        <f t="shared" si="297"/>
        <v/>
      </c>
      <c r="DQ108" s="51" t="str">
        <f t="shared" si="298"/>
        <v/>
      </c>
      <c r="DR108" s="51" t="str">
        <f t="shared" si="299"/>
        <v/>
      </c>
      <c r="DS108" s="51" t="str">
        <f t="shared" si="300"/>
        <v/>
      </c>
      <c r="DT108" s="51" t="str">
        <f t="shared" si="301"/>
        <v/>
      </c>
      <c r="DU108" s="51" t="str">
        <f t="shared" si="302"/>
        <v/>
      </c>
      <c r="DV108" s="51" t="str">
        <f t="shared" si="303"/>
        <v/>
      </c>
      <c r="DW108" s="51" t="str">
        <f t="shared" si="304"/>
        <v/>
      </c>
      <c r="DX108" s="51" t="str">
        <f t="shared" si="305"/>
        <v/>
      </c>
      <c r="DY108" s="51" t="str">
        <f t="shared" si="306"/>
        <v/>
      </c>
      <c r="DZ108" s="51" t="str">
        <f t="shared" si="307"/>
        <v/>
      </c>
      <c r="EA108" s="51" t="str">
        <f t="shared" si="308"/>
        <v/>
      </c>
      <c r="EB108" s="51" t="str">
        <f t="shared" si="309"/>
        <v/>
      </c>
      <c r="EC108" s="51" t="str">
        <f t="shared" si="310"/>
        <v/>
      </c>
      <c r="ED108" s="51" t="str">
        <f t="shared" si="311"/>
        <v/>
      </c>
      <c r="EE108" s="51" t="str">
        <f t="shared" si="312"/>
        <v/>
      </c>
      <c r="EF108" s="51" t="str">
        <f t="shared" si="313"/>
        <v/>
      </c>
      <c r="EG108" s="51" t="str">
        <f t="shared" si="314"/>
        <v/>
      </c>
      <c r="EH108" s="51" t="str">
        <f t="shared" si="315"/>
        <v/>
      </c>
      <c r="EI108" s="51" t="str">
        <f t="shared" si="316"/>
        <v/>
      </c>
      <c r="EJ108" s="51" t="str">
        <f t="shared" si="317"/>
        <v/>
      </c>
      <c r="EK108" s="51" t="str">
        <f t="shared" si="318"/>
        <v/>
      </c>
      <c r="EL108" s="51" t="str">
        <f t="shared" si="319"/>
        <v/>
      </c>
    </row>
    <row r="109" spans="2:142" x14ac:dyDescent="0.25">
      <c r="B109" s="34">
        <f t="shared" si="195"/>
        <v>18</v>
      </c>
      <c r="C109" s="35" t="str">
        <f t="shared" si="195"/>
        <v>LECHUGA</v>
      </c>
      <c r="D109" s="36">
        <f t="shared" si="195"/>
        <v>1.8688000000000001E-3</v>
      </c>
      <c r="E109" s="36">
        <f t="shared" si="195"/>
        <v>1.5163169595767818E-2</v>
      </c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 t="str">
        <f t="shared" si="196"/>
        <v/>
      </c>
      <c r="T109" s="51" t="str">
        <f t="shared" si="197"/>
        <v/>
      </c>
      <c r="U109" s="51">
        <f t="shared" si="198"/>
        <v>0.37795763452860864</v>
      </c>
      <c r="V109" s="51">
        <f t="shared" si="199"/>
        <v>0.4243798133747223</v>
      </c>
      <c r="W109" s="51">
        <f t="shared" si="200"/>
        <v>9.3905854666980204E-2</v>
      </c>
      <c r="X109" s="51">
        <f t="shared" si="201"/>
        <v>0.24320713137557881</v>
      </c>
      <c r="Y109" s="51">
        <f t="shared" si="202"/>
        <v>0.14235549271199166</v>
      </c>
      <c r="Z109" s="51">
        <f t="shared" si="203"/>
        <v>0.2058956974359567</v>
      </c>
      <c r="AA109" s="51">
        <f t="shared" si="204"/>
        <v>0.16763453951940965</v>
      </c>
      <c r="AB109" s="51">
        <f t="shared" si="205"/>
        <v>-8.2882287526914733E-2</v>
      </c>
      <c r="AC109" s="51">
        <f t="shared" si="206"/>
        <v>-0.20838923515211449</v>
      </c>
      <c r="AD109" s="51">
        <f t="shared" si="207"/>
        <v>-0.10361548685686173</v>
      </c>
      <c r="AE109" s="51">
        <f t="shared" si="208"/>
        <v>4.2502347329942403E-3</v>
      </c>
      <c r="AF109" s="51">
        <f t="shared" si="209"/>
        <v>2.7912689163340332E-2</v>
      </c>
      <c r="AG109" s="51">
        <f t="shared" si="210"/>
        <v>1.6932996104488174E-2</v>
      </c>
      <c r="AH109" s="51">
        <f t="shared" si="211"/>
        <v>0.15289413229695659</v>
      </c>
      <c r="AI109" s="51">
        <f t="shared" si="212"/>
        <v>0.22554144884985372</v>
      </c>
      <c r="AJ109" s="51">
        <f t="shared" si="213"/>
        <v>0.11709235233493653</v>
      </c>
      <c r="AK109" s="51">
        <f t="shared" si="214"/>
        <v>8.2146309255469285E-2</v>
      </c>
      <c r="AL109" s="51">
        <f t="shared" si="215"/>
        <v>0.2377949258335097</v>
      </c>
      <c r="AM109" s="51">
        <f t="shared" si="216"/>
        <v>0.1864962355914217</v>
      </c>
      <c r="AN109" s="51">
        <f t="shared" si="217"/>
        <v>0.36991260276932314</v>
      </c>
      <c r="AO109" s="51">
        <f t="shared" si="218"/>
        <v>0.32617662616425669</v>
      </c>
      <c r="AP109" s="51">
        <f t="shared" si="219"/>
        <v>-2.5527601751176632E-2</v>
      </c>
      <c r="AQ109" s="51">
        <f t="shared" si="220"/>
        <v>-4.3870332678840218E-2</v>
      </c>
      <c r="AR109" s="51">
        <f t="shared" si="221"/>
        <v>5.4865449641432473E-3</v>
      </c>
      <c r="AS109" s="51">
        <f t="shared" si="222"/>
        <v>0.16933169515202096</v>
      </c>
      <c r="AT109" s="51">
        <f t="shared" si="223"/>
        <v>0.1151359054796588</v>
      </c>
      <c r="AU109" s="51">
        <f t="shared" si="224"/>
        <v>1.128798862330771E-2</v>
      </c>
      <c r="AV109" s="51">
        <f t="shared" si="225"/>
        <v>6.8465054136195302E-3</v>
      </c>
      <c r="AW109" s="51">
        <f t="shared" si="226"/>
        <v>-3.0637091334443478E-2</v>
      </c>
      <c r="AX109" s="51">
        <f t="shared" si="227"/>
        <v>-8.9450768223927279E-2</v>
      </c>
      <c r="AY109" s="51">
        <f t="shared" si="228"/>
        <v>-4.5465300035107403E-2</v>
      </c>
      <c r="AZ109" s="51">
        <f t="shared" si="229"/>
        <v>-5.1742350061164122E-2</v>
      </c>
      <c r="BA109" s="51">
        <f t="shared" si="230"/>
        <v>6.7604646981708205E-2</v>
      </c>
      <c r="BB109" s="51">
        <f t="shared" si="231"/>
        <v>0.22009183978110936</v>
      </c>
      <c r="BC109" s="51">
        <f t="shared" si="232"/>
        <v>0.15805771419331927</v>
      </c>
      <c r="BD109" s="51">
        <f t="shared" si="233"/>
        <v>0.22295935593822458</v>
      </c>
      <c r="BE109" s="51">
        <f t="shared" si="234"/>
        <v>-3.1317290155528643E-2</v>
      </c>
      <c r="BF109" s="51">
        <f t="shared" si="235"/>
        <v>-0.10892209398375141</v>
      </c>
      <c r="BG109" s="51">
        <f t="shared" si="236"/>
        <v>-0.13419401004893539</v>
      </c>
      <c r="BH109" s="51">
        <f t="shared" si="237"/>
        <v>-0.17373711650832957</v>
      </c>
      <c r="BI109" s="51">
        <f t="shared" si="238"/>
        <v>-9.8353994188787652E-2</v>
      </c>
      <c r="BJ109" s="51">
        <f t="shared" si="239"/>
        <v>-2.8271705324354635E-2</v>
      </c>
      <c r="BK109" s="51">
        <f t="shared" si="240"/>
        <v>2.7527809223608202E-2</v>
      </c>
      <c r="BL109" s="51">
        <f t="shared" si="241"/>
        <v>2.3630949587775563E-2</v>
      </c>
      <c r="BM109" s="51">
        <f t="shared" si="242"/>
        <v>3.8232560662272652E-2</v>
      </c>
      <c r="BN109" s="51">
        <f t="shared" si="243"/>
        <v>-2.4398390907010792E-2</v>
      </c>
      <c r="BO109" s="51">
        <f t="shared" si="244"/>
        <v>-1.6097810424793413E-2</v>
      </c>
      <c r="BP109" s="51">
        <f t="shared" si="245"/>
        <v>-6.23899047606149E-2</v>
      </c>
      <c r="BQ109" s="51">
        <f t="shared" si="246"/>
        <v>4.0946169559888057E-2</v>
      </c>
      <c r="BR109" s="51">
        <f t="shared" si="247"/>
        <v>6.6079844207311389E-2</v>
      </c>
      <c r="BS109" s="51">
        <f t="shared" si="248"/>
        <v>0.14901673361023726</v>
      </c>
      <c r="BT109" s="51">
        <f t="shared" si="249"/>
        <v>0.2507262696257575</v>
      </c>
      <c r="BU109" s="51">
        <f t="shared" si="250"/>
        <v>0.49176454415082893</v>
      </c>
      <c r="BV109" s="51">
        <f t="shared" si="251"/>
        <v>0.41068242426377655</v>
      </c>
      <c r="BW109" s="51">
        <f t="shared" si="252"/>
        <v>0.11415771979249434</v>
      </c>
      <c r="BX109" s="51">
        <f t="shared" si="253"/>
        <v>6.1688218940901152E-2</v>
      </c>
      <c r="BY109" s="51">
        <f t="shared" si="254"/>
        <v>-2.6128884802762653E-2</v>
      </c>
      <c r="BZ109" s="51">
        <f t="shared" si="255"/>
        <v>-1.8664558468181269E-2</v>
      </c>
      <c r="CA109" s="51">
        <f t="shared" si="256"/>
        <v>4.1384755328229161E-2</v>
      </c>
      <c r="CB109" s="51">
        <f t="shared" si="257"/>
        <v>5.145398359531117E-2</v>
      </c>
      <c r="CC109" s="51">
        <f t="shared" si="258"/>
        <v>5.5912170969931063E-2</v>
      </c>
      <c r="CD109" s="51">
        <f t="shared" si="259"/>
        <v>0.11785026426639544</v>
      </c>
      <c r="CE109" s="51">
        <f t="shared" si="260"/>
        <v>6.035480247900038E-2</v>
      </c>
      <c r="CF109" s="51">
        <f t="shared" si="261"/>
        <v>-5.6037031718253139E-2</v>
      </c>
      <c r="CG109" s="51">
        <f t="shared" si="262"/>
        <v>-0.29837725674421378</v>
      </c>
      <c r="CH109" s="51">
        <f t="shared" si="263"/>
        <v>-0.33373397705420693</v>
      </c>
      <c r="CI109" s="51">
        <f t="shared" si="264"/>
        <v>-0.16582607914073522</v>
      </c>
      <c r="CJ109" s="51">
        <f t="shared" si="265"/>
        <v>-4.9295544040111494E-2</v>
      </c>
      <c r="CK109" s="51">
        <f t="shared" si="266"/>
        <v>6.2491593669921741E-2</v>
      </c>
      <c r="CL109" s="51">
        <f t="shared" si="267"/>
        <v>8.7338299474689851E-2</v>
      </c>
      <c r="CM109" s="51">
        <f t="shared" si="268"/>
        <v>-5.386769139263492E-2</v>
      </c>
      <c r="CN109" s="51">
        <f t="shared" si="269"/>
        <v>-9.1838714833556767E-2</v>
      </c>
      <c r="CO109" s="51">
        <f t="shared" si="270"/>
        <v>-0.10263508964663215</v>
      </c>
      <c r="CP109" s="51">
        <f t="shared" si="271"/>
        <v>-2.5745538248202582E-2</v>
      </c>
      <c r="CQ109" s="51">
        <f t="shared" si="272"/>
        <v>0.20001184168099573</v>
      </c>
      <c r="CR109" s="51">
        <f t="shared" si="273"/>
        <v>0.30626094929387171</v>
      </c>
      <c r="CS109" s="51">
        <f t="shared" si="274"/>
        <v>0.52997176488823627</v>
      </c>
      <c r="CT109" s="51">
        <f t="shared" si="275"/>
        <v>0.39276359204300082</v>
      </c>
      <c r="CU109" s="51">
        <f t="shared" si="276"/>
        <v>0.34139545037673136</v>
      </c>
      <c r="CV109" s="51">
        <f t="shared" si="277"/>
        <v>0.23234029252352828</v>
      </c>
      <c r="CW109" s="51">
        <f t="shared" si="278"/>
        <v>7.3316252830462281E-2</v>
      </c>
      <c r="CX109" s="51">
        <f t="shared" si="279"/>
        <v>3.7137301980832982E-2</v>
      </c>
      <c r="CY109" s="51">
        <f t="shared" si="280"/>
        <v>0.10366002706533628</v>
      </c>
      <c r="CZ109" s="51">
        <f t="shared" si="281"/>
        <v>0.16330254217127815</v>
      </c>
      <c r="DA109" s="51">
        <f t="shared" si="282"/>
        <v>0.17119743778483354</v>
      </c>
      <c r="DB109" s="51">
        <f t="shared" si="283"/>
        <v>0.11476889841844984</v>
      </c>
      <c r="DC109" s="51">
        <f t="shared" si="284"/>
        <v>2.6773295174376877E-2</v>
      </c>
      <c r="DD109" s="51">
        <f t="shared" si="285"/>
        <v>3.5493757115214075E-2</v>
      </c>
      <c r="DE109" s="51">
        <f t="shared" si="286"/>
        <v>-6.5768197806693074E-2</v>
      </c>
      <c r="DF109" s="51">
        <f t="shared" si="287"/>
        <v>-7.4077685579625352E-2</v>
      </c>
      <c r="DG109" s="51">
        <f t="shared" si="288"/>
        <v>-9.7295939086870731E-2</v>
      </c>
      <c r="DH109" s="51">
        <f t="shared" si="289"/>
        <v>-2.8183407455422915E-2</v>
      </c>
      <c r="DI109" s="51">
        <f t="shared" si="290"/>
        <v>5.1999388337074848E-2</v>
      </c>
      <c r="DJ109" s="51">
        <f t="shared" si="291"/>
        <v>1.0162303055344157E-2</v>
      </c>
      <c r="DK109" s="51">
        <f t="shared" si="292"/>
        <v>-3.9903517396733923E-2</v>
      </c>
      <c r="DL109" s="51">
        <f t="shared" si="293"/>
        <v>-3.1584537388805622E-2</v>
      </c>
      <c r="DM109" s="51">
        <f t="shared" si="294"/>
        <v>-1.1493661070716144E-3</v>
      </c>
      <c r="DN109" s="51">
        <f t="shared" si="295"/>
        <v>2.8885343665532748E-2</v>
      </c>
      <c r="DO109" s="51">
        <f t="shared" si="296"/>
        <v>-8.2349554284454562E-2</v>
      </c>
      <c r="DP109" s="51" t="str">
        <f t="shared" si="297"/>
        <v/>
      </c>
      <c r="DQ109" s="51" t="str">
        <f t="shared" si="298"/>
        <v/>
      </c>
      <c r="DR109" s="51" t="str">
        <f t="shared" si="299"/>
        <v/>
      </c>
      <c r="DS109" s="51" t="str">
        <f t="shared" si="300"/>
        <v/>
      </c>
      <c r="DT109" s="51" t="str">
        <f t="shared" si="301"/>
        <v/>
      </c>
      <c r="DU109" s="51" t="str">
        <f t="shared" si="302"/>
        <v/>
      </c>
      <c r="DV109" s="51" t="str">
        <f t="shared" si="303"/>
        <v/>
      </c>
      <c r="DW109" s="51" t="str">
        <f t="shared" si="304"/>
        <v/>
      </c>
      <c r="DX109" s="51" t="str">
        <f t="shared" si="305"/>
        <v/>
      </c>
      <c r="DY109" s="51" t="str">
        <f t="shared" si="306"/>
        <v/>
      </c>
      <c r="DZ109" s="51" t="str">
        <f t="shared" si="307"/>
        <v/>
      </c>
      <c r="EA109" s="51" t="str">
        <f t="shared" si="308"/>
        <v/>
      </c>
      <c r="EB109" s="51" t="str">
        <f t="shared" si="309"/>
        <v/>
      </c>
      <c r="EC109" s="51" t="str">
        <f t="shared" si="310"/>
        <v/>
      </c>
      <c r="ED109" s="51" t="str">
        <f t="shared" si="311"/>
        <v/>
      </c>
      <c r="EE109" s="51" t="str">
        <f t="shared" si="312"/>
        <v/>
      </c>
      <c r="EF109" s="51" t="str">
        <f t="shared" si="313"/>
        <v/>
      </c>
      <c r="EG109" s="51" t="str">
        <f t="shared" si="314"/>
        <v/>
      </c>
      <c r="EH109" s="51" t="str">
        <f t="shared" si="315"/>
        <v/>
      </c>
      <c r="EI109" s="51" t="str">
        <f t="shared" si="316"/>
        <v/>
      </c>
      <c r="EJ109" s="51" t="str">
        <f t="shared" si="317"/>
        <v/>
      </c>
      <c r="EK109" s="51" t="str">
        <f t="shared" si="318"/>
        <v/>
      </c>
      <c r="EL109" s="51" t="str">
        <f t="shared" si="319"/>
        <v/>
      </c>
    </row>
    <row r="110" spans="2:142" x14ac:dyDescent="0.25">
      <c r="B110" s="34">
        <f t="shared" si="195"/>
        <v>19</v>
      </c>
      <c r="C110" s="35" t="str">
        <f t="shared" si="195"/>
        <v>PAPA</v>
      </c>
      <c r="D110" s="36">
        <f t="shared" si="195"/>
        <v>4.3184E-3</v>
      </c>
      <c r="E110" s="36">
        <f t="shared" si="195"/>
        <v>3.5038865358713471E-2</v>
      </c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 t="str">
        <f t="shared" si="196"/>
        <v/>
      </c>
      <c r="T110" s="51" t="str">
        <f t="shared" si="197"/>
        <v/>
      </c>
      <c r="U110" s="51">
        <f t="shared" si="198"/>
        <v>-0.16362916066157107</v>
      </c>
      <c r="V110" s="51">
        <f t="shared" si="199"/>
        <v>-0.38326690856955903</v>
      </c>
      <c r="W110" s="51">
        <f t="shared" si="200"/>
        <v>-0.40834734368136039</v>
      </c>
      <c r="X110" s="51">
        <f t="shared" si="201"/>
        <v>-0.34913830451557115</v>
      </c>
      <c r="Y110" s="51">
        <f t="shared" si="202"/>
        <v>-0.1271410416243548</v>
      </c>
      <c r="Z110" s="51">
        <f t="shared" si="203"/>
        <v>3.3299389920631972E-2</v>
      </c>
      <c r="AA110" s="51">
        <f t="shared" si="204"/>
        <v>0.34252715326559091</v>
      </c>
      <c r="AB110" s="51">
        <f t="shared" si="205"/>
        <v>-5.3877095167187972E-2</v>
      </c>
      <c r="AC110" s="51">
        <f t="shared" si="206"/>
        <v>-0.27092708394665854</v>
      </c>
      <c r="AD110" s="51">
        <f t="shared" si="207"/>
        <v>-0.49331671250256526</v>
      </c>
      <c r="AE110" s="51">
        <f t="shared" si="208"/>
        <v>-0.45291531823354214</v>
      </c>
      <c r="AF110" s="51">
        <f t="shared" si="209"/>
        <v>-0.33419338912239915</v>
      </c>
      <c r="AG110" s="51">
        <f t="shared" si="210"/>
        <v>4.3499638112386663E-2</v>
      </c>
      <c r="AH110" s="51">
        <f t="shared" si="211"/>
        <v>0.28449492049030001</v>
      </c>
      <c r="AI110" s="51">
        <f t="shared" si="212"/>
        <v>0.26101424280726881</v>
      </c>
      <c r="AJ110" s="51">
        <f t="shared" si="213"/>
        <v>1.5702660516485611E-3</v>
      </c>
      <c r="AK110" s="51">
        <f t="shared" si="214"/>
        <v>-0.21531091749275388</v>
      </c>
      <c r="AL110" s="51">
        <f t="shared" si="215"/>
        <v>-0.18957693583969326</v>
      </c>
      <c r="AM110" s="51">
        <f t="shared" si="216"/>
        <v>-0.43041014084097251</v>
      </c>
      <c r="AN110" s="51">
        <f t="shared" si="217"/>
        <v>-0.39596454157898398</v>
      </c>
      <c r="AO110" s="51">
        <f t="shared" si="218"/>
        <v>-0.28096721973559091</v>
      </c>
      <c r="AP110" s="51">
        <f t="shared" si="219"/>
        <v>-0.18636570997344337</v>
      </c>
      <c r="AQ110" s="51">
        <f t="shared" si="220"/>
        <v>-0.21841781603261068</v>
      </c>
      <c r="AR110" s="51">
        <f t="shared" si="221"/>
        <v>-0.10613568857460676</v>
      </c>
      <c r="AS110" s="51">
        <f t="shared" si="222"/>
        <v>-0.11555110609985775</v>
      </c>
      <c r="AT110" s="51">
        <f t="shared" si="223"/>
        <v>-9.8382951638115279E-2</v>
      </c>
      <c r="AU110" s="51">
        <f t="shared" si="224"/>
        <v>-0.10837997683617806</v>
      </c>
      <c r="AV110" s="51">
        <f t="shared" si="225"/>
        <v>-9.4763019027432449E-2</v>
      </c>
      <c r="AW110" s="51">
        <f t="shared" si="226"/>
        <v>-0.12629869276016381</v>
      </c>
      <c r="AX110" s="51">
        <f t="shared" si="227"/>
        <v>-0.19313248725091947</v>
      </c>
      <c r="AY110" s="51">
        <f t="shared" si="228"/>
        <v>-5.6791109697056363E-3</v>
      </c>
      <c r="AZ110" s="51">
        <f t="shared" si="229"/>
        <v>4.3340311956903355E-2</v>
      </c>
      <c r="BA110" s="51">
        <f t="shared" si="230"/>
        <v>0.1942756353644135</v>
      </c>
      <c r="BB110" s="51">
        <f t="shared" si="231"/>
        <v>0.58784481014648748</v>
      </c>
      <c r="BC110" s="51">
        <f t="shared" si="232"/>
        <v>0.86563854014320385</v>
      </c>
      <c r="BD110" s="51">
        <f t="shared" si="233"/>
        <v>0.77798503432028765</v>
      </c>
      <c r="BE110" s="51">
        <f t="shared" si="234"/>
        <v>0.55782117228152184</v>
      </c>
      <c r="BF110" s="51">
        <f t="shared" si="235"/>
        <v>0.46560054185275068</v>
      </c>
      <c r="BG110" s="51">
        <f t="shared" si="236"/>
        <v>0.34225293501788046</v>
      </c>
      <c r="BH110" s="51">
        <f t="shared" si="237"/>
        <v>0.50102950048465367</v>
      </c>
      <c r="BI110" s="51">
        <f t="shared" si="238"/>
        <v>0.6461938449199871</v>
      </c>
      <c r="BJ110" s="51">
        <f t="shared" si="239"/>
        <v>0.7749265347405585</v>
      </c>
      <c r="BK110" s="51">
        <f t="shared" si="240"/>
        <v>1.0177139006924794</v>
      </c>
      <c r="BL110" s="51">
        <f t="shared" si="241"/>
        <v>1.2660247155968087</v>
      </c>
      <c r="BM110" s="51">
        <f t="shared" si="242"/>
        <v>0.43839688994097981</v>
      </c>
      <c r="BN110" s="51">
        <f t="shared" si="243"/>
        <v>-0.11526174148334067</v>
      </c>
      <c r="BO110" s="51">
        <f t="shared" si="244"/>
        <v>-5.7155618330633429E-2</v>
      </c>
      <c r="BP110" s="51">
        <f t="shared" si="245"/>
        <v>-0.13200428489357874</v>
      </c>
      <c r="BQ110" s="51">
        <f t="shared" si="246"/>
        <v>-6.0900780788093134E-2</v>
      </c>
      <c r="BR110" s="51">
        <f t="shared" si="247"/>
        <v>-4.3215220993419678E-2</v>
      </c>
      <c r="BS110" s="51">
        <f t="shared" si="248"/>
        <v>9.1440960932487991E-2</v>
      </c>
      <c r="BT110" s="51">
        <f t="shared" si="249"/>
        <v>7.2972166077604816E-2</v>
      </c>
      <c r="BU110" s="51">
        <f t="shared" si="250"/>
        <v>9.6273364166616915E-3</v>
      </c>
      <c r="BV110" s="51">
        <f t="shared" si="251"/>
        <v>-4.421933122261068E-2</v>
      </c>
      <c r="BW110" s="51">
        <f t="shared" si="252"/>
        <v>-0.11878573370237366</v>
      </c>
      <c r="BX110" s="51">
        <f t="shared" si="253"/>
        <v>-0.10431703279816296</v>
      </c>
      <c r="BY110" s="51">
        <f t="shared" si="254"/>
        <v>0.28762973667633362</v>
      </c>
      <c r="BZ110" s="51">
        <f t="shared" si="255"/>
        <v>0.32765862583440164</v>
      </c>
      <c r="CA110" s="51">
        <f t="shared" si="256"/>
        <v>-2.1679596023127967E-2</v>
      </c>
      <c r="CB110" s="51">
        <f t="shared" si="257"/>
        <v>0.11420799995441766</v>
      </c>
      <c r="CC110" s="51">
        <f t="shared" si="258"/>
        <v>0.15207604897125782</v>
      </c>
      <c r="CD110" s="51">
        <f t="shared" si="259"/>
        <v>0.18776213874081726</v>
      </c>
      <c r="CE110" s="51">
        <f t="shared" si="260"/>
        <v>0.1271556466320698</v>
      </c>
      <c r="CF110" s="51">
        <f t="shared" si="261"/>
        <v>0.10069654419816465</v>
      </c>
      <c r="CG110" s="51">
        <f t="shared" si="262"/>
        <v>0.1400592763820383</v>
      </c>
      <c r="CH110" s="51">
        <f t="shared" si="263"/>
        <v>0.1056129845143734</v>
      </c>
      <c r="CI110" s="51">
        <f t="shared" si="264"/>
        <v>-6.0891200345568719E-2</v>
      </c>
      <c r="CJ110" s="51">
        <f t="shared" si="265"/>
        <v>-0.23211067599172364</v>
      </c>
      <c r="CK110" s="51">
        <f t="shared" si="266"/>
        <v>-0.30484048037824119</v>
      </c>
      <c r="CL110" s="51">
        <f t="shared" si="267"/>
        <v>-9.2629652418640518E-2</v>
      </c>
      <c r="CM110" s="51">
        <f t="shared" si="268"/>
        <v>0.16064192989967108</v>
      </c>
      <c r="CN110" s="51">
        <f t="shared" si="269"/>
        <v>2.1411478953047292E-2</v>
      </c>
      <c r="CO110" s="51">
        <f t="shared" si="270"/>
        <v>2.4616763580673551E-2</v>
      </c>
      <c r="CP110" s="51">
        <f t="shared" si="271"/>
        <v>0.10334434607042908</v>
      </c>
      <c r="CQ110" s="51">
        <f t="shared" si="272"/>
        <v>8.8012363635778357E-2</v>
      </c>
      <c r="CR110" s="51">
        <f t="shared" si="273"/>
        <v>5.7098028179446425E-2</v>
      </c>
      <c r="CS110" s="51">
        <f t="shared" si="274"/>
        <v>5.4144067391055151E-2</v>
      </c>
      <c r="CT110" s="51">
        <f t="shared" si="275"/>
        <v>0.28371253874761138</v>
      </c>
      <c r="CU110" s="51">
        <f t="shared" si="276"/>
        <v>0.31700498853824843</v>
      </c>
      <c r="CV110" s="51">
        <f t="shared" si="277"/>
        <v>0.4188798363876296</v>
      </c>
      <c r="CW110" s="51">
        <f t="shared" si="278"/>
        <v>0.53921141828885899</v>
      </c>
      <c r="CX110" s="51">
        <f t="shared" si="279"/>
        <v>0.40588759047361145</v>
      </c>
      <c r="CY110" s="51">
        <f t="shared" si="280"/>
        <v>0.22210212313732458</v>
      </c>
      <c r="CZ110" s="51">
        <f t="shared" si="281"/>
        <v>0.17345368117604942</v>
      </c>
      <c r="DA110" s="51">
        <f t="shared" si="282"/>
        <v>3.9945157036759937E-2</v>
      </c>
      <c r="DB110" s="51">
        <f t="shared" si="283"/>
        <v>1.8467472948382468E-3</v>
      </c>
      <c r="DC110" s="51">
        <f t="shared" si="284"/>
        <v>4.4992834089151668E-2</v>
      </c>
      <c r="DD110" s="51">
        <f t="shared" si="285"/>
        <v>0.1404447232364967</v>
      </c>
      <c r="DE110" s="51">
        <f t="shared" si="286"/>
        <v>6.6784357868249655E-2</v>
      </c>
      <c r="DF110" s="51">
        <f t="shared" si="287"/>
        <v>-9.2369821521901319E-2</v>
      </c>
      <c r="DG110" s="51">
        <f t="shared" si="288"/>
        <v>-0.16371740105296018</v>
      </c>
      <c r="DH110" s="51">
        <f t="shared" si="289"/>
        <v>-0.25439685089895059</v>
      </c>
      <c r="DI110" s="51">
        <f t="shared" si="290"/>
        <v>-0.30668003097702357</v>
      </c>
      <c r="DJ110" s="51">
        <f t="shared" si="291"/>
        <v>-0.30134072529386813</v>
      </c>
      <c r="DK110" s="51">
        <f t="shared" si="292"/>
        <v>-0.25982179236463376</v>
      </c>
      <c r="DL110" s="51">
        <f t="shared" si="293"/>
        <v>-0.1681163489880485</v>
      </c>
      <c r="DM110" s="51">
        <f t="shared" si="294"/>
        <v>-7.7851592927017044E-2</v>
      </c>
      <c r="DN110" s="51">
        <f t="shared" si="295"/>
        <v>-0.12507132693200629</v>
      </c>
      <c r="DO110" s="51">
        <f t="shared" si="296"/>
        <v>-0.18771128305721319</v>
      </c>
      <c r="DP110" s="51" t="str">
        <f t="shared" si="297"/>
        <v/>
      </c>
      <c r="DQ110" s="51" t="str">
        <f t="shared" si="298"/>
        <v/>
      </c>
      <c r="DR110" s="51" t="str">
        <f t="shared" si="299"/>
        <v/>
      </c>
      <c r="DS110" s="51" t="str">
        <f t="shared" si="300"/>
        <v/>
      </c>
      <c r="DT110" s="51" t="str">
        <f t="shared" si="301"/>
        <v/>
      </c>
      <c r="DU110" s="51" t="str">
        <f t="shared" si="302"/>
        <v/>
      </c>
      <c r="DV110" s="51" t="str">
        <f t="shared" si="303"/>
        <v/>
      </c>
      <c r="DW110" s="51" t="str">
        <f t="shared" si="304"/>
        <v/>
      </c>
      <c r="DX110" s="51" t="str">
        <f t="shared" si="305"/>
        <v/>
      </c>
      <c r="DY110" s="51" t="str">
        <f t="shared" si="306"/>
        <v/>
      </c>
      <c r="DZ110" s="51" t="str">
        <f t="shared" si="307"/>
        <v/>
      </c>
      <c r="EA110" s="51" t="str">
        <f t="shared" si="308"/>
        <v/>
      </c>
      <c r="EB110" s="51" t="str">
        <f t="shared" si="309"/>
        <v/>
      </c>
      <c r="EC110" s="51" t="str">
        <f t="shared" si="310"/>
        <v/>
      </c>
      <c r="ED110" s="51" t="str">
        <f t="shared" si="311"/>
        <v/>
      </c>
      <c r="EE110" s="51" t="str">
        <f t="shared" si="312"/>
        <v/>
      </c>
      <c r="EF110" s="51" t="str">
        <f t="shared" si="313"/>
        <v/>
      </c>
      <c r="EG110" s="51" t="str">
        <f t="shared" si="314"/>
        <v/>
      </c>
      <c r="EH110" s="51" t="str">
        <f t="shared" si="315"/>
        <v/>
      </c>
      <c r="EI110" s="51" t="str">
        <f t="shared" si="316"/>
        <v/>
      </c>
      <c r="EJ110" s="51" t="str">
        <f t="shared" si="317"/>
        <v/>
      </c>
      <c r="EK110" s="51" t="str">
        <f t="shared" si="318"/>
        <v/>
      </c>
      <c r="EL110" s="51" t="str">
        <f t="shared" si="319"/>
        <v/>
      </c>
    </row>
    <row r="111" spans="2:142" x14ac:dyDescent="0.25">
      <c r="B111" s="38">
        <f t="shared" si="195"/>
        <v>20</v>
      </c>
      <c r="C111" s="39" t="str">
        <f t="shared" si="195"/>
        <v>PIMENTÓN Y PIMIENTO</v>
      </c>
      <c r="D111" s="40">
        <f t="shared" si="195"/>
        <v>4.9709999999999999E-4</v>
      </c>
      <c r="E111" s="40">
        <f t="shared" si="195"/>
        <v>4.0333966213913644E-3</v>
      </c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 t="str">
        <f t="shared" si="196"/>
        <v/>
      </c>
      <c r="T111" s="52" t="str">
        <f t="shared" si="197"/>
        <v/>
      </c>
      <c r="U111" s="52">
        <f t="shared" si="198"/>
        <v>0.30475419293552242</v>
      </c>
      <c r="V111" s="52">
        <f t="shared" si="199"/>
        <v>0.27828331602690026</v>
      </c>
      <c r="W111" s="52">
        <f t="shared" si="200"/>
        <v>0.17545517950035561</v>
      </c>
      <c r="X111" s="52">
        <f t="shared" si="201"/>
        <v>-7.2198178228972343E-2</v>
      </c>
      <c r="Y111" s="52">
        <f t="shared" si="202"/>
        <v>0.15707059448728256</v>
      </c>
      <c r="Z111" s="52">
        <f t="shared" si="203"/>
        <v>0.323518309527701</v>
      </c>
      <c r="AA111" s="52">
        <f t="shared" si="204"/>
        <v>0.46227294870309565</v>
      </c>
      <c r="AB111" s="52">
        <f t="shared" si="205"/>
        <v>0.51210863227742109</v>
      </c>
      <c r="AC111" s="52">
        <f t="shared" si="206"/>
        <v>0.14345794562835201</v>
      </c>
      <c r="AD111" s="52">
        <f t="shared" si="207"/>
        <v>1.9309454673372528E-2</v>
      </c>
      <c r="AE111" s="52">
        <f t="shared" si="208"/>
        <v>-1.049028962451426E-2</v>
      </c>
      <c r="AF111" s="52">
        <f t="shared" si="209"/>
        <v>7.0987122846907891E-2</v>
      </c>
      <c r="AG111" s="52">
        <f t="shared" si="210"/>
        <v>9.7960028127036747E-2</v>
      </c>
      <c r="AH111" s="52">
        <f t="shared" si="211"/>
        <v>0.11906050042783867</v>
      </c>
      <c r="AI111" s="52">
        <f t="shared" si="212"/>
        <v>0.21852118946426402</v>
      </c>
      <c r="AJ111" s="52">
        <f t="shared" si="213"/>
        <v>0.35183186226311514</v>
      </c>
      <c r="AK111" s="52">
        <f t="shared" si="214"/>
        <v>0.22353652570595117</v>
      </c>
      <c r="AL111" s="52">
        <f t="shared" si="215"/>
        <v>0.20575183385025952</v>
      </c>
      <c r="AM111" s="52">
        <f t="shared" si="216"/>
        <v>0.12731150038964079</v>
      </c>
      <c r="AN111" s="52">
        <f t="shared" si="217"/>
        <v>-3.8974247359888636E-2</v>
      </c>
      <c r="AO111" s="52">
        <f t="shared" si="218"/>
        <v>2.727899277715129E-2</v>
      </c>
      <c r="AP111" s="52">
        <f t="shared" si="219"/>
        <v>6.5189634586891199E-2</v>
      </c>
      <c r="AQ111" s="52">
        <f t="shared" si="220"/>
        <v>0.13215648974689853</v>
      </c>
      <c r="AR111" s="52">
        <f t="shared" si="221"/>
        <v>0.16250594463827484</v>
      </c>
      <c r="AS111" s="52">
        <f t="shared" si="222"/>
        <v>0.13580665186996366</v>
      </c>
      <c r="AT111" s="52">
        <f t="shared" si="223"/>
        <v>0.15901627949485064</v>
      </c>
      <c r="AU111" s="52">
        <f t="shared" si="224"/>
        <v>9.0364405112788759E-2</v>
      </c>
      <c r="AV111" s="52">
        <f t="shared" si="225"/>
        <v>0.13190158708020272</v>
      </c>
      <c r="AW111" s="52">
        <f t="shared" si="226"/>
        <v>1.6804292906376972E-2</v>
      </c>
      <c r="AX111" s="52">
        <f t="shared" si="227"/>
        <v>-3.924415441075324E-2</v>
      </c>
      <c r="AY111" s="52">
        <f t="shared" si="228"/>
        <v>-0.12300773652931185</v>
      </c>
      <c r="AZ111" s="52">
        <f t="shared" si="229"/>
        <v>2.2798490741993138E-3</v>
      </c>
      <c r="BA111" s="52">
        <f t="shared" si="230"/>
        <v>0.24567914554989656</v>
      </c>
      <c r="BB111" s="52">
        <f t="shared" si="231"/>
        <v>0.30832968841324071</v>
      </c>
      <c r="BC111" s="52">
        <f t="shared" si="232"/>
        <v>0.1560585472745244</v>
      </c>
      <c r="BD111" s="52">
        <f t="shared" si="233"/>
        <v>0.21947122125385632</v>
      </c>
      <c r="BE111" s="52">
        <f t="shared" si="234"/>
        <v>0.20028248933445947</v>
      </c>
      <c r="BF111" s="52">
        <f t="shared" si="235"/>
        <v>7.3213261692527842E-2</v>
      </c>
      <c r="BG111" s="52">
        <f t="shared" si="236"/>
        <v>-7.8675352006456478E-2</v>
      </c>
      <c r="BH111" s="52">
        <f t="shared" si="237"/>
        <v>-8.364440410114049E-2</v>
      </c>
      <c r="BI111" s="52">
        <f t="shared" si="238"/>
        <v>-1.3049616159836575E-2</v>
      </c>
      <c r="BJ111" s="52">
        <f t="shared" si="239"/>
        <v>2.3569561429931607E-2</v>
      </c>
      <c r="BK111" s="52">
        <f t="shared" si="240"/>
        <v>0.19260832323131938</v>
      </c>
      <c r="BL111" s="52">
        <f t="shared" si="241"/>
        <v>0.13535944344587136</v>
      </c>
      <c r="BM111" s="52">
        <f t="shared" si="242"/>
        <v>3.3579292423599805E-2</v>
      </c>
      <c r="BN111" s="52">
        <f t="shared" si="243"/>
        <v>4.717815603217046E-3</v>
      </c>
      <c r="BO111" s="52">
        <f t="shared" si="244"/>
        <v>0.17502657372175578</v>
      </c>
      <c r="BP111" s="52">
        <f t="shared" si="245"/>
        <v>0.15960916572392514</v>
      </c>
      <c r="BQ111" s="52">
        <f t="shared" si="246"/>
        <v>0.3383792205906162</v>
      </c>
      <c r="BR111" s="52">
        <f t="shared" si="247"/>
        <v>0.22820907867782037</v>
      </c>
      <c r="BS111" s="52">
        <f t="shared" si="248"/>
        <v>0.35708103847892247</v>
      </c>
      <c r="BT111" s="52">
        <f t="shared" si="249"/>
        <v>0.73021048963187218</v>
      </c>
      <c r="BU111" s="52">
        <f t="shared" si="250"/>
        <v>0.64232574932998898</v>
      </c>
      <c r="BV111" s="52">
        <f t="shared" si="251"/>
        <v>0.53725611335123213</v>
      </c>
      <c r="BW111" s="52">
        <f t="shared" si="252"/>
        <v>0.29861675513860853</v>
      </c>
      <c r="BX111" s="52">
        <f t="shared" si="253"/>
        <v>0.15400122060608834</v>
      </c>
      <c r="BY111" s="52">
        <f t="shared" si="254"/>
        <v>0.11016534137667966</v>
      </c>
      <c r="BZ111" s="52">
        <f t="shared" si="255"/>
        <v>0.24831052991999902</v>
      </c>
      <c r="CA111" s="52">
        <f t="shared" si="256"/>
        <v>0.10550796667859563</v>
      </c>
      <c r="CB111" s="52">
        <f t="shared" si="257"/>
        <v>5.6812072409502257E-3</v>
      </c>
      <c r="CC111" s="52">
        <f t="shared" si="258"/>
        <v>-5.7820287762948674E-2</v>
      </c>
      <c r="CD111" s="52">
        <f t="shared" si="259"/>
        <v>8.6082614802564628E-2</v>
      </c>
      <c r="CE111" s="52">
        <f t="shared" si="260"/>
        <v>8.4525761996682602E-2</v>
      </c>
      <c r="CF111" s="52">
        <f t="shared" si="261"/>
        <v>-0.18734676917832416</v>
      </c>
      <c r="CG111" s="52">
        <f t="shared" si="262"/>
        <v>-0.24480346122303465</v>
      </c>
      <c r="CH111" s="52">
        <f t="shared" si="263"/>
        <v>-0.27507058655726557</v>
      </c>
      <c r="CI111" s="52">
        <f t="shared" si="264"/>
        <v>-0.19860871156249404</v>
      </c>
      <c r="CJ111" s="52">
        <f t="shared" si="265"/>
        <v>1.6070975962977796E-2</v>
      </c>
      <c r="CK111" s="52">
        <f t="shared" si="266"/>
        <v>0.14270816342734594</v>
      </c>
      <c r="CL111" s="52">
        <f t="shared" si="267"/>
        <v>0.19153050509265346</v>
      </c>
      <c r="CM111" s="52">
        <f t="shared" si="268"/>
        <v>8.0111153509186961E-2</v>
      </c>
      <c r="CN111" s="52">
        <f t="shared" si="269"/>
        <v>0.17700744564645299</v>
      </c>
      <c r="CO111" s="52">
        <f t="shared" si="270"/>
        <v>0.19798614612639698</v>
      </c>
      <c r="CP111" s="52">
        <f t="shared" si="271"/>
        <v>0.19489824653384802</v>
      </c>
      <c r="CQ111" s="52">
        <f t="shared" si="272"/>
        <v>0.1907357691242717</v>
      </c>
      <c r="CR111" s="52">
        <f t="shared" si="273"/>
        <v>0.10029017838697096</v>
      </c>
      <c r="CS111" s="52">
        <f t="shared" si="274"/>
        <v>6.0557607127740276E-3</v>
      </c>
      <c r="CT111" s="52">
        <f t="shared" si="275"/>
        <v>7.1049776872580406E-2</v>
      </c>
      <c r="CU111" s="52">
        <f t="shared" si="276"/>
        <v>7.389602897380243E-2</v>
      </c>
      <c r="CV111" s="52">
        <f t="shared" si="277"/>
        <v>4.6067276338461749E-2</v>
      </c>
      <c r="CW111" s="52">
        <f t="shared" si="278"/>
        <v>-3.0734253682867752E-2</v>
      </c>
      <c r="CX111" s="52">
        <f t="shared" si="279"/>
        <v>0.1454474854158605</v>
      </c>
      <c r="CY111" s="52">
        <f t="shared" si="280"/>
        <v>0.32534280170696084</v>
      </c>
      <c r="CZ111" s="52">
        <f t="shared" si="281"/>
        <v>0.31175956261354409</v>
      </c>
      <c r="DA111" s="52">
        <f t="shared" si="282"/>
        <v>0.3042544868408612</v>
      </c>
      <c r="DB111" s="52">
        <f t="shared" si="283"/>
        <v>0.27810924022505668</v>
      </c>
      <c r="DC111" s="52">
        <f t="shared" si="284"/>
        <v>0.27081295597323729</v>
      </c>
      <c r="DD111" s="52">
        <f t="shared" si="285"/>
        <v>0.34851511403002133</v>
      </c>
      <c r="DE111" s="52">
        <f t="shared" si="286"/>
        <v>0.37243226673719887</v>
      </c>
      <c r="DF111" s="52" t="str">
        <f t="shared" si="287"/>
        <v/>
      </c>
      <c r="DG111" s="52" t="str">
        <f t="shared" si="288"/>
        <v/>
      </c>
      <c r="DH111" s="52" t="str">
        <f t="shared" si="289"/>
        <v/>
      </c>
      <c r="DI111" s="52" t="str">
        <f t="shared" si="290"/>
        <v/>
      </c>
      <c r="DJ111" s="52" t="str">
        <f t="shared" si="291"/>
        <v/>
      </c>
      <c r="DK111" s="52" t="str">
        <f t="shared" si="292"/>
        <v/>
      </c>
      <c r="DL111" s="52" t="str">
        <f t="shared" si="293"/>
        <v/>
      </c>
      <c r="DM111" s="52" t="str">
        <f t="shared" si="294"/>
        <v/>
      </c>
      <c r="DN111" s="52" t="str">
        <f t="shared" si="295"/>
        <v/>
      </c>
      <c r="DO111" s="52" t="str">
        <f t="shared" si="296"/>
        <v/>
      </c>
      <c r="DP111" s="52" t="str">
        <f t="shared" si="297"/>
        <v/>
      </c>
      <c r="DQ111" s="52" t="str">
        <f t="shared" si="298"/>
        <v/>
      </c>
      <c r="DR111" s="52" t="str">
        <f t="shared" si="299"/>
        <v/>
      </c>
      <c r="DS111" s="52" t="str">
        <f t="shared" si="300"/>
        <v/>
      </c>
      <c r="DT111" s="52" t="str">
        <f t="shared" si="301"/>
        <v/>
      </c>
      <c r="DU111" s="52" t="str">
        <f t="shared" si="302"/>
        <v/>
      </c>
      <c r="DV111" s="52" t="str">
        <f t="shared" si="303"/>
        <v/>
      </c>
      <c r="DW111" s="52" t="str">
        <f t="shared" si="304"/>
        <v/>
      </c>
      <c r="DX111" s="52" t="str">
        <f t="shared" si="305"/>
        <v/>
      </c>
      <c r="DY111" s="52" t="str">
        <f t="shared" si="306"/>
        <v/>
      </c>
      <c r="DZ111" s="52" t="str">
        <f t="shared" si="307"/>
        <v/>
      </c>
      <c r="EA111" s="52" t="str">
        <f t="shared" si="308"/>
        <v/>
      </c>
      <c r="EB111" s="52" t="str">
        <f t="shared" si="309"/>
        <v/>
      </c>
      <c r="EC111" s="52" t="str">
        <f t="shared" si="310"/>
        <v/>
      </c>
      <c r="ED111" s="52" t="str">
        <f t="shared" si="311"/>
        <v/>
      </c>
      <c r="EE111" s="52" t="str">
        <f t="shared" si="312"/>
        <v/>
      </c>
      <c r="EF111" s="52" t="str">
        <f t="shared" si="313"/>
        <v/>
      </c>
      <c r="EG111" s="52" t="str">
        <f t="shared" si="314"/>
        <v/>
      </c>
      <c r="EH111" s="52" t="str">
        <f t="shared" si="315"/>
        <v/>
      </c>
      <c r="EI111" s="52" t="str">
        <f t="shared" si="316"/>
        <v/>
      </c>
      <c r="EJ111" s="52" t="str">
        <f t="shared" si="317"/>
        <v/>
      </c>
      <c r="EK111" s="52" t="str">
        <f t="shared" si="318"/>
        <v/>
      </c>
      <c r="EL111" s="52" t="str">
        <f t="shared" si="319"/>
        <v/>
      </c>
    </row>
    <row r="112" spans="2:142" x14ac:dyDescent="0.25">
      <c r="B112" s="18">
        <f t="shared" ref="B112:E131" si="320">B29</f>
        <v>21</v>
      </c>
      <c r="C112" s="42" t="str">
        <f t="shared" si="320"/>
        <v>TOMATE</v>
      </c>
      <c r="D112" s="43">
        <f t="shared" si="320"/>
        <v>3.6505000000000001E-3</v>
      </c>
      <c r="E112" s="43">
        <f t="shared" si="320"/>
        <v>2.961962254353083E-2</v>
      </c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 t="str">
        <f t="shared" si="196"/>
        <v/>
      </c>
      <c r="T112" s="47" t="str">
        <f t="shared" si="197"/>
        <v/>
      </c>
      <c r="U112" s="47">
        <f t="shared" si="198"/>
        <v>0.10685538557094154</v>
      </c>
      <c r="V112" s="47">
        <f t="shared" si="199"/>
        <v>-0.11905188608789863</v>
      </c>
      <c r="W112" s="47">
        <f t="shared" si="200"/>
        <v>-8.7405885433622599E-2</v>
      </c>
      <c r="X112" s="47">
        <f t="shared" si="201"/>
        <v>0.20174034451534895</v>
      </c>
      <c r="Y112" s="47">
        <f t="shared" si="202"/>
        <v>0.5159415321505183</v>
      </c>
      <c r="Z112" s="47">
        <f t="shared" si="203"/>
        <v>0.92513219427766513</v>
      </c>
      <c r="AA112" s="47">
        <f t="shared" si="204"/>
        <v>0.63571039294820708</v>
      </c>
      <c r="AB112" s="47">
        <f t="shared" si="205"/>
        <v>8.2276274661091886E-2</v>
      </c>
      <c r="AC112" s="47">
        <f t="shared" si="206"/>
        <v>-5.4648074937268643E-2</v>
      </c>
      <c r="AD112" s="47">
        <f t="shared" si="207"/>
        <v>-6.1317030050929033E-2</v>
      </c>
      <c r="AE112" s="47">
        <f t="shared" si="208"/>
        <v>0.26424718251608037</v>
      </c>
      <c r="AF112" s="47">
        <f t="shared" si="209"/>
        <v>8.1633817310233114E-2</v>
      </c>
      <c r="AG112" s="47">
        <f t="shared" si="210"/>
        <v>-3.8231043300498424E-3</v>
      </c>
      <c r="AH112" s="47">
        <f t="shared" si="211"/>
        <v>-7.5289667173135233E-2</v>
      </c>
      <c r="AI112" s="47">
        <f t="shared" si="212"/>
        <v>2.4990319741629685E-2</v>
      </c>
      <c r="AJ112" s="47">
        <f t="shared" si="213"/>
        <v>-5.0643990556884955E-2</v>
      </c>
      <c r="AK112" s="47">
        <f t="shared" si="214"/>
        <v>3.0955344969328946E-2</v>
      </c>
      <c r="AL112" s="47">
        <f t="shared" si="215"/>
        <v>8.2999115614072139E-2</v>
      </c>
      <c r="AM112" s="47">
        <f t="shared" si="216"/>
        <v>0.2658881353421092</v>
      </c>
      <c r="AN112" s="47">
        <f t="shared" si="217"/>
        <v>0.58983472090954026</v>
      </c>
      <c r="AO112" s="47">
        <f t="shared" si="218"/>
        <v>0.34816631986692581</v>
      </c>
      <c r="AP112" s="47">
        <f t="shared" si="219"/>
        <v>-6.6039273403567522E-2</v>
      </c>
      <c r="AQ112" s="47">
        <f t="shared" si="220"/>
        <v>-0.28158860755364012</v>
      </c>
      <c r="AR112" s="47">
        <f t="shared" si="221"/>
        <v>-2.9218005532616331E-2</v>
      </c>
      <c r="AS112" s="47">
        <f t="shared" si="222"/>
        <v>7.6517050227635774E-2</v>
      </c>
      <c r="AT112" s="47">
        <f t="shared" si="223"/>
        <v>0.31609423012639493</v>
      </c>
      <c r="AU112" s="47">
        <f t="shared" si="224"/>
        <v>0.16134072119582554</v>
      </c>
      <c r="AV112" s="47">
        <f t="shared" si="225"/>
        <v>0.307981821205638</v>
      </c>
      <c r="AW112" s="47">
        <f t="shared" si="226"/>
        <v>-0.12196802521732042</v>
      </c>
      <c r="AX112" s="47">
        <f t="shared" si="227"/>
        <v>-0.32275509206016162</v>
      </c>
      <c r="AY112" s="47">
        <f t="shared" si="228"/>
        <v>-0.1073675734643349</v>
      </c>
      <c r="AZ112" s="47">
        <f t="shared" si="229"/>
        <v>-0.11231710731469291</v>
      </c>
      <c r="BA112" s="47">
        <f t="shared" si="230"/>
        <v>0.15741536894191399</v>
      </c>
      <c r="BB112" s="47">
        <f t="shared" si="231"/>
        <v>0.10471003510401333</v>
      </c>
      <c r="BC112" s="47">
        <f t="shared" si="232"/>
        <v>0.33698621357349445</v>
      </c>
      <c r="BD112" s="47">
        <f t="shared" si="233"/>
        <v>0.26472412976359383</v>
      </c>
      <c r="BE112" s="47">
        <f t="shared" si="234"/>
        <v>0.19963486590785484</v>
      </c>
      <c r="BF112" s="47">
        <f t="shared" si="235"/>
        <v>5.4040590739223626E-2</v>
      </c>
      <c r="BG112" s="47">
        <f t="shared" si="236"/>
        <v>-4.0924273651468335E-2</v>
      </c>
      <c r="BH112" s="47">
        <f t="shared" si="237"/>
        <v>-0.23724784380265462</v>
      </c>
      <c r="BI112" s="47">
        <f t="shared" si="238"/>
        <v>-0.21183909203332341</v>
      </c>
      <c r="BJ112" s="47">
        <f t="shared" si="239"/>
        <v>3.0953883993263265E-3</v>
      </c>
      <c r="BK112" s="47">
        <f t="shared" si="240"/>
        <v>-0.18052317233628001</v>
      </c>
      <c r="BL112" s="47">
        <f t="shared" si="241"/>
        <v>-0.22959769103637462</v>
      </c>
      <c r="BM112" s="47">
        <f t="shared" si="242"/>
        <v>-0.24647759722915374</v>
      </c>
      <c r="BN112" s="47">
        <f t="shared" si="243"/>
        <v>-7.6036827739913715E-2</v>
      </c>
      <c r="BO112" s="47">
        <f t="shared" si="244"/>
        <v>0.16706792849624486</v>
      </c>
      <c r="BP112" s="47">
        <f t="shared" si="245"/>
        <v>0.12591247322086829</v>
      </c>
      <c r="BQ112" s="47">
        <f t="shared" si="246"/>
        <v>0.13723357887495369</v>
      </c>
      <c r="BR112" s="47">
        <f t="shared" si="247"/>
        <v>-0.12944650469032393</v>
      </c>
      <c r="BS112" s="47">
        <f t="shared" si="248"/>
        <v>-9.2473996798716374E-2</v>
      </c>
      <c r="BT112" s="47">
        <f t="shared" si="249"/>
        <v>0.29699108628102122</v>
      </c>
      <c r="BU112" s="47">
        <f t="shared" si="250"/>
        <v>0.43399516061345222</v>
      </c>
      <c r="BV112" s="47">
        <f t="shared" si="251"/>
        <v>8.5008812936018918E-2</v>
      </c>
      <c r="BW112" s="47">
        <f t="shared" si="252"/>
        <v>-0.1391473258359921</v>
      </c>
      <c r="BX112" s="47">
        <f t="shared" si="253"/>
        <v>3.4238715215055837E-3</v>
      </c>
      <c r="BY112" s="47">
        <f t="shared" si="254"/>
        <v>1.1077159254667679E-2</v>
      </c>
      <c r="BZ112" s="47">
        <f t="shared" si="255"/>
        <v>-4.9535579953527975E-3</v>
      </c>
      <c r="CA112" s="47">
        <f t="shared" si="256"/>
        <v>-0.1920064357948944</v>
      </c>
      <c r="CB112" s="47">
        <f t="shared" si="257"/>
        <v>-0.21735640639846976</v>
      </c>
      <c r="CC112" s="47">
        <f t="shared" si="258"/>
        <v>-0.23717416789867707</v>
      </c>
      <c r="CD112" s="47">
        <f t="shared" si="259"/>
        <v>0.20731164577438199</v>
      </c>
      <c r="CE112" s="47">
        <f t="shared" si="260"/>
        <v>7.3382123992073112E-2</v>
      </c>
      <c r="CF112" s="47">
        <f t="shared" si="261"/>
        <v>-0.23592206979946673</v>
      </c>
      <c r="CG112" s="47">
        <f t="shared" si="262"/>
        <v>-0.29642817781616937</v>
      </c>
      <c r="CH112" s="47">
        <f t="shared" si="263"/>
        <v>-0.14460790392321166</v>
      </c>
      <c r="CI112" s="47">
        <f t="shared" si="264"/>
        <v>0.20860883116235018</v>
      </c>
      <c r="CJ112" s="47">
        <f t="shared" si="265"/>
        <v>0.39014506964105933</v>
      </c>
      <c r="CK112" s="47">
        <f t="shared" si="266"/>
        <v>0.31967549045478449</v>
      </c>
      <c r="CL112" s="47">
        <f t="shared" si="267"/>
        <v>0.24330258363635493</v>
      </c>
      <c r="CM112" s="47">
        <f t="shared" si="268"/>
        <v>0.23738901390840494</v>
      </c>
      <c r="CN112" s="47">
        <f t="shared" si="269"/>
        <v>8.5577347848756702E-2</v>
      </c>
      <c r="CO112" s="47">
        <f t="shared" si="270"/>
        <v>4.8788647787401773E-2</v>
      </c>
      <c r="CP112" s="47">
        <f t="shared" si="271"/>
        <v>-5.1155580416349933E-3</v>
      </c>
      <c r="CQ112" s="47">
        <f t="shared" si="272"/>
        <v>0.18187071245816733</v>
      </c>
      <c r="CR112" s="47">
        <f t="shared" si="273"/>
        <v>0.1177614427328022</v>
      </c>
      <c r="CS112" s="47">
        <f t="shared" si="274"/>
        <v>0.18151687055050347</v>
      </c>
      <c r="CT112" s="47">
        <f t="shared" si="275"/>
        <v>0.15604019791167789</v>
      </c>
      <c r="CU112" s="47">
        <f t="shared" si="276"/>
        <v>2.4655535576258991E-3</v>
      </c>
      <c r="CV112" s="47">
        <f t="shared" si="277"/>
        <v>-0.28975522832148026</v>
      </c>
      <c r="CW112" s="47">
        <f t="shared" si="278"/>
        <v>-0.22856357088745372</v>
      </c>
      <c r="CX112" s="47">
        <f t="shared" si="279"/>
        <v>-5.6768891300758351E-2</v>
      </c>
      <c r="CY112" s="47">
        <f t="shared" si="280"/>
        <v>3.0579227183430424E-2</v>
      </c>
      <c r="CZ112" s="47">
        <f t="shared" si="281"/>
        <v>0.18306009179043814</v>
      </c>
      <c r="DA112" s="47">
        <f t="shared" si="282"/>
        <v>0.20977835061255767</v>
      </c>
      <c r="DB112" s="47">
        <f t="shared" si="283"/>
        <v>0.12505788026041875</v>
      </c>
      <c r="DC112" s="47">
        <f t="shared" si="284"/>
        <v>0.33561022870734214</v>
      </c>
      <c r="DD112" s="47">
        <f t="shared" si="285"/>
        <v>0.45755107010646134</v>
      </c>
      <c r="DE112" s="47">
        <f t="shared" si="286"/>
        <v>0.22207659703156168</v>
      </c>
      <c r="DF112" s="47">
        <f t="shared" si="287"/>
        <v>0.39005619627949506</v>
      </c>
      <c r="DG112" s="47">
        <f t="shared" si="288"/>
        <v>0.55435158811155838</v>
      </c>
      <c r="DH112" s="47">
        <f t="shared" si="289"/>
        <v>0.40749579222485655</v>
      </c>
      <c r="DI112" s="47">
        <f t="shared" si="290"/>
        <v>1.950971561755166E-3</v>
      </c>
      <c r="DJ112" s="47">
        <f t="shared" si="291"/>
        <v>-6.7259747072780929E-2</v>
      </c>
      <c r="DK112" s="47">
        <f t="shared" si="292"/>
        <v>-0.13768393210507612</v>
      </c>
      <c r="DL112" s="47">
        <f t="shared" si="293"/>
        <v>-8.4829516838701546E-2</v>
      </c>
      <c r="DM112" s="47">
        <f t="shared" si="294"/>
        <v>0.12292948201260878</v>
      </c>
      <c r="DN112" s="47">
        <f t="shared" si="295"/>
        <v>0.28085583405886227</v>
      </c>
      <c r="DO112" s="47">
        <f t="shared" si="296"/>
        <v>-3.5737946126161435E-2</v>
      </c>
      <c r="DP112" s="47" t="str">
        <f t="shared" si="297"/>
        <v/>
      </c>
      <c r="DQ112" s="47" t="str">
        <f t="shared" si="298"/>
        <v/>
      </c>
      <c r="DR112" s="47" t="str">
        <f t="shared" si="299"/>
        <v/>
      </c>
      <c r="DS112" s="47" t="str">
        <f t="shared" si="300"/>
        <v/>
      </c>
      <c r="DT112" s="47" t="str">
        <f t="shared" si="301"/>
        <v/>
      </c>
      <c r="DU112" s="47" t="str">
        <f t="shared" si="302"/>
        <v/>
      </c>
      <c r="DV112" s="47" t="str">
        <f t="shared" si="303"/>
        <v/>
      </c>
      <c r="DW112" s="47" t="str">
        <f t="shared" si="304"/>
        <v/>
      </c>
      <c r="DX112" s="47" t="str">
        <f t="shared" si="305"/>
        <v/>
      </c>
      <c r="DY112" s="47" t="str">
        <f t="shared" si="306"/>
        <v/>
      </c>
      <c r="DZ112" s="47" t="str">
        <f t="shared" si="307"/>
        <v/>
      </c>
      <c r="EA112" s="47" t="str">
        <f t="shared" si="308"/>
        <v/>
      </c>
      <c r="EB112" s="47" t="str">
        <f t="shared" si="309"/>
        <v/>
      </c>
      <c r="EC112" s="47" t="str">
        <f t="shared" si="310"/>
        <v/>
      </c>
      <c r="ED112" s="47" t="str">
        <f t="shared" si="311"/>
        <v/>
      </c>
      <c r="EE112" s="47" t="str">
        <f t="shared" si="312"/>
        <v/>
      </c>
      <c r="EF112" s="47" t="str">
        <f t="shared" si="313"/>
        <v/>
      </c>
      <c r="EG112" s="47" t="str">
        <f t="shared" si="314"/>
        <v/>
      </c>
      <c r="EH112" s="47" t="str">
        <f t="shared" si="315"/>
        <v/>
      </c>
      <c r="EI112" s="47" t="str">
        <f t="shared" si="316"/>
        <v/>
      </c>
      <c r="EJ112" s="47" t="str">
        <f t="shared" si="317"/>
        <v/>
      </c>
      <c r="EK112" s="47" t="str">
        <f t="shared" si="318"/>
        <v/>
      </c>
      <c r="EL112" s="47" t="str">
        <f t="shared" si="319"/>
        <v/>
      </c>
    </row>
    <row r="113" spans="2:142" x14ac:dyDescent="0.25">
      <c r="B113" s="22">
        <f t="shared" si="320"/>
        <v>22</v>
      </c>
      <c r="C113" s="23" t="str">
        <f t="shared" si="320"/>
        <v>ZANAHORIA</v>
      </c>
      <c r="D113" s="24">
        <f t="shared" si="320"/>
        <v>8.384E-4</v>
      </c>
      <c r="E113" s="24">
        <f t="shared" si="320"/>
        <v>6.8026548528958355E-3</v>
      </c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 t="str">
        <f t="shared" si="196"/>
        <v/>
      </c>
      <c r="T113" s="48" t="str">
        <f t="shared" si="197"/>
        <v/>
      </c>
      <c r="U113" s="48" t="str">
        <f t="shared" si="198"/>
        <v/>
      </c>
      <c r="V113" s="48" t="str">
        <f t="shared" si="199"/>
        <v/>
      </c>
      <c r="W113" s="48" t="str">
        <f t="shared" si="200"/>
        <v/>
      </c>
      <c r="X113" s="48" t="str">
        <f t="shared" si="201"/>
        <v/>
      </c>
      <c r="Y113" s="48" t="str">
        <f t="shared" si="202"/>
        <v/>
      </c>
      <c r="Z113" s="48" t="str">
        <f t="shared" si="203"/>
        <v/>
      </c>
      <c r="AA113" s="48" t="str">
        <f t="shared" si="204"/>
        <v/>
      </c>
      <c r="AB113" s="48" t="str">
        <f t="shared" si="205"/>
        <v/>
      </c>
      <c r="AC113" s="48" t="str">
        <f t="shared" si="206"/>
        <v/>
      </c>
      <c r="AD113" s="48" t="str">
        <f t="shared" si="207"/>
        <v/>
      </c>
      <c r="AE113" s="48" t="str">
        <f t="shared" si="208"/>
        <v/>
      </c>
      <c r="AF113" s="48" t="str">
        <f t="shared" si="209"/>
        <v/>
      </c>
      <c r="AG113" s="48" t="str">
        <f t="shared" si="210"/>
        <v/>
      </c>
      <c r="AH113" s="48" t="str">
        <f t="shared" si="211"/>
        <v/>
      </c>
      <c r="AI113" s="48" t="str">
        <f t="shared" si="212"/>
        <v/>
      </c>
      <c r="AJ113" s="48" t="str">
        <f t="shared" si="213"/>
        <v/>
      </c>
      <c r="AK113" s="48" t="str">
        <f t="shared" si="214"/>
        <v/>
      </c>
      <c r="AL113" s="48" t="str">
        <f t="shared" si="215"/>
        <v/>
      </c>
      <c r="AM113" s="48" t="str">
        <f t="shared" si="216"/>
        <v/>
      </c>
      <c r="AN113" s="48" t="str">
        <f t="shared" si="217"/>
        <v/>
      </c>
      <c r="AO113" s="48" t="str">
        <f t="shared" si="218"/>
        <v/>
      </c>
      <c r="AP113" s="48" t="str">
        <f t="shared" si="219"/>
        <v/>
      </c>
      <c r="AQ113" s="48" t="str">
        <f t="shared" si="220"/>
        <v/>
      </c>
      <c r="AR113" s="48" t="str">
        <f t="shared" si="221"/>
        <v/>
      </c>
      <c r="AS113" s="48" t="str">
        <f t="shared" si="222"/>
        <v/>
      </c>
      <c r="AT113" s="48" t="str">
        <f t="shared" si="223"/>
        <v/>
      </c>
      <c r="AU113" s="48" t="str">
        <f t="shared" si="224"/>
        <v/>
      </c>
      <c r="AV113" s="48" t="str">
        <f t="shared" si="225"/>
        <v/>
      </c>
      <c r="AW113" s="48" t="str">
        <f t="shared" si="226"/>
        <v/>
      </c>
      <c r="AX113" s="48" t="str">
        <f t="shared" si="227"/>
        <v/>
      </c>
      <c r="AY113" s="48" t="str">
        <f t="shared" si="228"/>
        <v/>
      </c>
      <c r="AZ113" s="48" t="str">
        <f t="shared" si="229"/>
        <v/>
      </c>
      <c r="BA113" s="48" t="str">
        <f t="shared" si="230"/>
        <v/>
      </c>
      <c r="BB113" s="48" t="str">
        <f t="shared" si="231"/>
        <v/>
      </c>
      <c r="BC113" s="48" t="str">
        <f t="shared" si="232"/>
        <v/>
      </c>
      <c r="BD113" s="48" t="str">
        <f t="shared" si="233"/>
        <v/>
      </c>
      <c r="BE113" s="48" t="str">
        <f t="shared" si="234"/>
        <v/>
      </c>
      <c r="BF113" s="48" t="str">
        <f t="shared" si="235"/>
        <v/>
      </c>
      <c r="BG113" s="48" t="str">
        <f t="shared" si="236"/>
        <v/>
      </c>
      <c r="BH113" s="48" t="str">
        <f t="shared" si="237"/>
        <v/>
      </c>
      <c r="BI113" s="48" t="str">
        <f t="shared" si="238"/>
        <v/>
      </c>
      <c r="BJ113" s="48" t="str">
        <f t="shared" si="239"/>
        <v/>
      </c>
      <c r="BK113" s="48" t="str">
        <f t="shared" si="240"/>
        <v/>
      </c>
      <c r="BL113" s="48" t="str">
        <f t="shared" si="241"/>
        <v/>
      </c>
      <c r="BM113" s="48" t="str">
        <f t="shared" si="242"/>
        <v/>
      </c>
      <c r="BN113" s="48" t="str">
        <f t="shared" si="243"/>
        <v/>
      </c>
      <c r="BO113" s="48" t="str">
        <f t="shared" si="244"/>
        <v/>
      </c>
      <c r="BP113" s="48" t="str">
        <f t="shared" si="245"/>
        <v/>
      </c>
      <c r="BQ113" s="48" t="str">
        <f t="shared" si="246"/>
        <v/>
      </c>
      <c r="BR113" s="48" t="str">
        <f t="shared" si="247"/>
        <v/>
      </c>
      <c r="BS113" s="48" t="str">
        <f t="shared" si="248"/>
        <v/>
      </c>
      <c r="BT113" s="48" t="str">
        <f t="shared" si="249"/>
        <v/>
      </c>
      <c r="BU113" s="48" t="str">
        <f t="shared" si="250"/>
        <v/>
      </c>
      <c r="BV113" s="48" t="str">
        <f t="shared" si="251"/>
        <v/>
      </c>
      <c r="BW113" s="48" t="str">
        <f t="shared" si="252"/>
        <v/>
      </c>
      <c r="BX113" s="48" t="str">
        <f t="shared" si="253"/>
        <v/>
      </c>
      <c r="BY113" s="48" t="str">
        <f t="shared" si="254"/>
        <v/>
      </c>
      <c r="BZ113" s="48" t="str">
        <f t="shared" si="255"/>
        <v/>
      </c>
      <c r="CA113" s="48" t="str">
        <f t="shared" si="256"/>
        <v/>
      </c>
      <c r="CB113" s="48" t="str">
        <f t="shared" si="257"/>
        <v/>
      </c>
      <c r="CC113" s="48" t="str">
        <f t="shared" si="258"/>
        <v/>
      </c>
      <c r="CD113" s="48" t="str">
        <f t="shared" si="259"/>
        <v/>
      </c>
      <c r="CE113" s="48" t="str">
        <f t="shared" si="260"/>
        <v/>
      </c>
      <c r="CF113" s="48" t="str">
        <f t="shared" si="261"/>
        <v/>
      </c>
      <c r="CG113" s="48" t="str">
        <f t="shared" si="262"/>
        <v/>
      </c>
      <c r="CH113" s="48" t="str">
        <f t="shared" si="263"/>
        <v/>
      </c>
      <c r="CI113" s="48" t="str">
        <f t="shared" si="264"/>
        <v/>
      </c>
      <c r="CJ113" s="48" t="str">
        <f t="shared" si="265"/>
        <v/>
      </c>
      <c r="CK113" s="48" t="str">
        <f t="shared" si="266"/>
        <v/>
      </c>
      <c r="CL113" s="48" t="str">
        <f t="shared" si="267"/>
        <v/>
      </c>
      <c r="CM113" s="48" t="str">
        <f t="shared" si="268"/>
        <v/>
      </c>
      <c r="CN113" s="48" t="str">
        <f t="shared" si="269"/>
        <v/>
      </c>
      <c r="CO113" s="48" t="str">
        <f t="shared" si="270"/>
        <v/>
      </c>
      <c r="CP113" s="48" t="str">
        <f t="shared" si="271"/>
        <v/>
      </c>
      <c r="CQ113" s="48" t="str">
        <f t="shared" si="272"/>
        <v/>
      </c>
      <c r="CR113" s="48" t="str">
        <f t="shared" si="273"/>
        <v/>
      </c>
      <c r="CS113" s="48" t="str">
        <f t="shared" si="274"/>
        <v/>
      </c>
      <c r="CT113" s="48" t="str">
        <f t="shared" si="275"/>
        <v/>
      </c>
      <c r="CU113" s="48" t="str">
        <f t="shared" si="276"/>
        <v/>
      </c>
      <c r="CV113" s="48">
        <f t="shared" si="277"/>
        <v>0.85931628265189874</v>
      </c>
      <c r="CW113" s="48">
        <f t="shared" si="278"/>
        <v>0.27907759717784164</v>
      </c>
      <c r="CX113" s="48">
        <f t="shared" si="279"/>
        <v>9.4304338947447386E-2</v>
      </c>
      <c r="CY113" s="48">
        <f t="shared" si="280"/>
        <v>0.11284627305222372</v>
      </c>
      <c r="CZ113" s="48">
        <f t="shared" si="281"/>
        <v>7.1935563200573593E-2</v>
      </c>
      <c r="DA113" s="48">
        <f t="shared" si="282"/>
        <v>8.6411735902585551E-2</v>
      </c>
      <c r="DB113" s="48">
        <f t="shared" si="283"/>
        <v>5.7028069629418532E-2</v>
      </c>
      <c r="DC113" s="48">
        <f t="shared" si="284"/>
        <v>4.4169784139700852E-2</v>
      </c>
      <c r="DD113" s="48">
        <f t="shared" si="285"/>
        <v>2.5746066902312847E-2</v>
      </c>
      <c r="DE113" s="48">
        <f t="shared" si="286"/>
        <v>-5.2811237258831856E-4</v>
      </c>
      <c r="DF113" s="48">
        <f t="shared" si="287"/>
        <v>1.2329430636739414E-2</v>
      </c>
      <c r="DG113" s="48">
        <f t="shared" si="288"/>
        <v>9.5512283723024893E-3</v>
      </c>
      <c r="DH113" s="48">
        <f t="shared" si="289"/>
        <v>-8.6541557051683982E-2</v>
      </c>
      <c r="DI113" s="48">
        <f t="shared" si="290"/>
        <v>-6.9095791545429663E-2</v>
      </c>
      <c r="DJ113" s="48">
        <f t="shared" si="291"/>
        <v>2.0752301109050908E-2</v>
      </c>
      <c r="DK113" s="48">
        <f t="shared" si="292"/>
        <v>8.2069933408834839E-3</v>
      </c>
      <c r="DL113" s="48">
        <f t="shared" si="293"/>
        <v>-1.8463100993430737E-2</v>
      </c>
      <c r="DM113" s="48">
        <f t="shared" si="294"/>
        <v>-1.3217082604400132E-2</v>
      </c>
      <c r="DN113" s="48">
        <f t="shared" si="295"/>
        <v>-1.176712595526741E-2</v>
      </c>
      <c r="DO113" s="48">
        <f t="shared" si="296"/>
        <v>-8.3619347575922931E-2</v>
      </c>
      <c r="DP113" s="48" t="str">
        <f t="shared" si="297"/>
        <v/>
      </c>
      <c r="DQ113" s="48" t="str">
        <f t="shared" si="298"/>
        <v/>
      </c>
      <c r="DR113" s="48" t="str">
        <f t="shared" si="299"/>
        <v/>
      </c>
      <c r="DS113" s="48" t="str">
        <f t="shared" si="300"/>
        <v/>
      </c>
      <c r="DT113" s="48" t="str">
        <f t="shared" si="301"/>
        <v/>
      </c>
      <c r="DU113" s="48" t="str">
        <f t="shared" si="302"/>
        <v/>
      </c>
      <c r="DV113" s="48" t="str">
        <f t="shared" si="303"/>
        <v/>
      </c>
      <c r="DW113" s="48" t="str">
        <f t="shared" si="304"/>
        <v/>
      </c>
      <c r="DX113" s="48" t="str">
        <f t="shared" si="305"/>
        <v/>
      </c>
      <c r="DY113" s="48" t="str">
        <f t="shared" si="306"/>
        <v/>
      </c>
      <c r="DZ113" s="48" t="str">
        <f t="shared" si="307"/>
        <v/>
      </c>
      <c r="EA113" s="48" t="str">
        <f t="shared" si="308"/>
        <v/>
      </c>
      <c r="EB113" s="48" t="str">
        <f t="shared" si="309"/>
        <v/>
      </c>
      <c r="EC113" s="48" t="str">
        <f t="shared" si="310"/>
        <v/>
      </c>
      <c r="ED113" s="48" t="str">
        <f t="shared" si="311"/>
        <v/>
      </c>
      <c r="EE113" s="48" t="str">
        <f t="shared" si="312"/>
        <v/>
      </c>
      <c r="EF113" s="48" t="str">
        <f t="shared" si="313"/>
        <v/>
      </c>
      <c r="EG113" s="48" t="str">
        <f t="shared" si="314"/>
        <v/>
      </c>
      <c r="EH113" s="48" t="str">
        <f t="shared" si="315"/>
        <v/>
      </c>
      <c r="EI113" s="48" t="str">
        <f t="shared" si="316"/>
        <v/>
      </c>
      <c r="EJ113" s="48" t="str">
        <f t="shared" si="317"/>
        <v/>
      </c>
      <c r="EK113" s="48" t="str">
        <f t="shared" si="318"/>
        <v/>
      </c>
      <c r="EL113" s="48" t="str">
        <f t="shared" si="319"/>
        <v/>
      </c>
    </row>
    <row r="114" spans="2:142" x14ac:dyDescent="0.25">
      <c r="B114" s="22">
        <f t="shared" si="320"/>
        <v>23</v>
      </c>
      <c r="C114" s="23" t="str">
        <f t="shared" si="320"/>
        <v>ZAPALLO</v>
      </c>
      <c r="D114" s="24">
        <f t="shared" si="320"/>
        <v>9.7869999999999988E-4</v>
      </c>
      <c r="E114" s="24">
        <f t="shared" si="320"/>
        <v>7.9410285120815275E-3</v>
      </c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 t="str">
        <f t="shared" si="196"/>
        <v/>
      </c>
      <c r="T114" s="48" t="str">
        <f t="shared" si="197"/>
        <v/>
      </c>
      <c r="U114" s="48">
        <f t="shared" si="198"/>
        <v>0.46457574989540484</v>
      </c>
      <c r="V114" s="48">
        <f t="shared" si="199"/>
        <v>0.4551330797698323</v>
      </c>
      <c r="W114" s="48">
        <f t="shared" si="200"/>
        <v>0.6451960832924728</v>
      </c>
      <c r="X114" s="48">
        <f t="shared" si="201"/>
        <v>1.1245894565961359</v>
      </c>
      <c r="Y114" s="48">
        <f t="shared" si="202"/>
        <v>1.8610018860097544</v>
      </c>
      <c r="Z114" s="48">
        <f t="shared" si="203"/>
        <v>2.5369160092592971</v>
      </c>
      <c r="AA114" s="48">
        <f t="shared" si="204"/>
        <v>1.6440618319737594</v>
      </c>
      <c r="AB114" s="48">
        <f t="shared" si="205"/>
        <v>1.5558710807553422</v>
      </c>
      <c r="AC114" s="48">
        <f t="shared" si="206"/>
        <v>1.4511605369289802</v>
      </c>
      <c r="AD114" s="48">
        <f t="shared" si="207"/>
        <v>0.5974404644333644</v>
      </c>
      <c r="AE114" s="48">
        <f t="shared" si="208"/>
        <v>0.21638972559406766</v>
      </c>
      <c r="AF114" s="48">
        <f t="shared" si="209"/>
        <v>-0.10160933181939957</v>
      </c>
      <c r="AG114" s="48">
        <f t="shared" si="210"/>
        <v>-0.1673429543416346</v>
      </c>
      <c r="AH114" s="48">
        <f t="shared" si="211"/>
        <v>-0.12973946007383863</v>
      </c>
      <c r="AI114" s="48">
        <f t="shared" si="212"/>
        <v>-0.26010705135176104</v>
      </c>
      <c r="AJ114" s="48">
        <f t="shared" si="213"/>
        <v>-0.4328706683641772</v>
      </c>
      <c r="AK114" s="48">
        <f t="shared" si="214"/>
        <v>-0.54655135464963789</v>
      </c>
      <c r="AL114" s="48">
        <f t="shared" si="215"/>
        <v>-0.5596646848677358</v>
      </c>
      <c r="AM114" s="48">
        <f t="shared" si="216"/>
        <v>-0.58820920126770071</v>
      </c>
      <c r="AN114" s="48">
        <f t="shared" si="217"/>
        <v>-0.38011454916968368</v>
      </c>
      <c r="AO114" s="48">
        <f t="shared" si="218"/>
        <v>-0.384834407410792</v>
      </c>
      <c r="AP114" s="48">
        <f t="shared" si="219"/>
        <v>-0.14362851029664037</v>
      </c>
      <c r="AQ114" s="48">
        <f t="shared" si="220"/>
        <v>-2.5877198860379425E-2</v>
      </c>
      <c r="AR114" s="48">
        <f t="shared" si="221"/>
        <v>0.13244837127763165</v>
      </c>
      <c r="AS114" s="48">
        <f t="shared" si="222"/>
        <v>0.15246256043017703</v>
      </c>
      <c r="AT114" s="48">
        <f t="shared" si="223"/>
        <v>1.8077865333303578E-2</v>
      </c>
      <c r="AU114" s="48">
        <f t="shared" si="224"/>
        <v>-6.7179486798025434E-2</v>
      </c>
      <c r="AV114" s="48">
        <f t="shared" si="225"/>
        <v>-3.1177284306645126E-2</v>
      </c>
      <c r="AW114" s="48">
        <f t="shared" si="226"/>
        <v>2.3477064715247575E-2</v>
      </c>
      <c r="AX114" s="48">
        <f t="shared" si="227"/>
        <v>-0.23205120930852374</v>
      </c>
      <c r="AY114" s="48">
        <f t="shared" si="228"/>
        <v>-0.19284435024749669</v>
      </c>
      <c r="AZ114" s="48">
        <f t="shared" si="229"/>
        <v>-0.28307289988209017</v>
      </c>
      <c r="BA114" s="48">
        <f t="shared" si="230"/>
        <v>-0.21603126699899711</v>
      </c>
      <c r="BB114" s="48">
        <f t="shared" si="231"/>
        <v>-5.6053173188196803E-2</v>
      </c>
      <c r="BC114" s="48">
        <f t="shared" si="232"/>
        <v>3.9964040750174235E-2</v>
      </c>
      <c r="BD114" s="48">
        <f t="shared" si="233"/>
        <v>9.5558666951905735E-2</v>
      </c>
      <c r="BE114" s="48">
        <f t="shared" si="234"/>
        <v>0.10673634963452483</v>
      </c>
      <c r="BF114" s="48">
        <f t="shared" si="235"/>
        <v>0.34040204101282834</v>
      </c>
      <c r="BG114" s="48">
        <f t="shared" si="236"/>
        <v>0.49202614321837568</v>
      </c>
      <c r="BH114" s="48">
        <f t="shared" si="237"/>
        <v>0.37410651856300281</v>
      </c>
      <c r="BI114" s="48">
        <f t="shared" si="238"/>
        <v>0.27315671067164238</v>
      </c>
      <c r="BJ114" s="48">
        <f t="shared" si="239"/>
        <v>0.9189692915176193</v>
      </c>
      <c r="BK114" s="48">
        <f t="shared" si="240"/>
        <v>1.2697061488281176</v>
      </c>
      <c r="BL114" s="48">
        <f t="shared" si="241"/>
        <v>1.0601309464268178</v>
      </c>
      <c r="BM114" s="48">
        <f t="shared" si="242"/>
        <v>0.78340082390302679</v>
      </c>
      <c r="BN114" s="48">
        <f t="shared" si="243"/>
        <v>0.61665567523693698</v>
      </c>
      <c r="BO114" s="48">
        <f t="shared" si="244"/>
        <v>0.51047854009148863</v>
      </c>
      <c r="BP114" s="48">
        <f t="shared" si="245"/>
        <v>0.28854327179631967</v>
      </c>
      <c r="BQ114" s="48">
        <f t="shared" si="246"/>
        <v>0.28629085877975058</v>
      </c>
      <c r="BR114" s="48">
        <f t="shared" si="247"/>
        <v>8.7260431309885034E-2</v>
      </c>
      <c r="BS114" s="48">
        <f t="shared" si="248"/>
        <v>-1.5493232330280771E-2</v>
      </c>
      <c r="BT114" s="48">
        <f t="shared" si="249"/>
        <v>1.2836386995708882E-2</v>
      </c>
      <c r="BU114" s="48">
        <f t="shared" si="250"/>
        <v>2.3151727322547666E-2</v>
      </c>
      <c r="BV114" s="48">
        <f t="shared" si="251"/>
        <v>-0.14645179042895673</v>
      </c>
      <c r="BW114" s="48">
        <f t="shared" si="252"/>
        <v>-0.28527520566262987</v>
      </c>
      <c r="BX114" s="48">
        <f t="shared" si="253"/>
        <v>-0.22911369850058816</v>
      </c>
      <c r="BY114" s="48">
        <f t="shared" si="254"/>
        <v>-2.0230072431363544E-2</v>
      </c>
      <c r="BZ114" s="48">
        <f t="shared" si="255"/>
        <v>5.9897413863952753E-2</v>
      </c>
      <c r="CA114" s="48">
        <f t="shared" si="256"/>
        <v>-0.2105555409473121</v>
      </c>
      <c r="CB114" s="48">
        <f t="shared" si="257"/>
        <v>-3.6350830578612325E-2</v>
      </c>
      <c r="CC114" s="48">
        <f t="shared" si="258"/>
        <v>-0.10690127414063155</v>
      </c>
      <c r="CD114" s="48">
        <f t="shared" si="259"/>
        <v>1.202703585362519E-2</v>
      </c>
      <c r="CE114" s="48">
        <f t="shared" si="260"/>
        <v>5.0399476396499221E-2</v>
      </c>
      <c r="CF114" s="48">
        <f t="shared" si="261"/>
        <v>0.10474879850644903</v>
      </c>
      <c r="CG114" s="48">
        <f t="shared" si="262"/>
        <v>9.974165526540979E-2</v>
      </c>
      <c r="CH114" s="48">
        <f t="shared" si="263"/>
        <v>5.0404187839523606E-2</v>
      </c>
      <c r="CI114" s="48">
        <f t="shared" si="264"/>
        <v>0.18187762619448278</v>
      </c>
      <c r="CJ114" s="48">
        <f t="shared" si="265"/>
        <v>-7.1630148367766933E-2</v>
      </c>
      <c r="CK114" s="48">
        <f t="shared" si="266"/>
        <v>-0.25861797701917921</v>
      </c>
      <c r="CL114" s="48">
        <f t="shared" si="267"/>
        <v>-0.28928888742584991</v>
      </c>
      <c r="CM114" s="48">
        <f t="shared" si="268"/>
        <v>-0.10761758384269748</v>
      </c>
      <c r="CN114" s="48">
        <f t="shared" si="269"/>
        <v>-0.13370424781948009</v>
      </c>
      <c r="CO114" s="48">
        <f t="shared" si="270"/>
        <v>-1.0083853785500252E-2</v>
      </c>
      <c r="CP114" s="48">
        <f t="shared" si="271"/>
        <v>7.2789023917829709E-5</v>
      </c>
      <c r="CQ114" s="48">
        <f t="shared" si="272"/>
        <v>2.021681865560998E-2</v>
      </c>
      <c r="CR114" s="48">
        <f t="shared" si="273"/>
        <v>3.5851760151806689E-2</v>
      </c>
      <c r="CS114" s="48">
        <f t="shared" si="274"/>
        <v>0.2919108383086102</v>
      </c>
      <c r="CT114" s="48">
        <f t="shared" si="275"/>
        <v>0.42292159298626664</v>
      </c>
      <c r="CU114" s="48">
        <f t="shared" si="276"/>
        <v>0.2357935188199336</v>
      </c>
      <c r="CV114" s="48">
        <f t="shared" si="277"/>
        <v>0.19580662185399134</v>
      </c>
      <c r="CW114" s="48">
        <f t="shared" si="278"/>
        <v>0.48539607928570061</v>
      </c>
      <c r="CX114" s="48">
        <f t="shared" si="279"/>
        <v>0.71809260457115487</v>
      </c>
      <c r="CY114" s="48">
        <f t="shared" si="280"/>
        <v>0.49657915643975992</v>
      </c>
      <c r="CZ114" s="48">
        <f t="shared" si="281"/>
        <v>0.38601847212294782</v>
      </c>
      <c r="DA114" s="48">
        <f t="shared" si="282"/>
        <v>0.22242409189665757</v>
      </c>
      <c r="DB114" s="48">
        <f t="shared" si="283"/>
        <v>0.24874917828603693</v>
      </c>
      <c r="DC114" s="48">
        <f t="shared" si="284"/>
        <v>0.28710718589946405</v>
      </c>
      <c r="DD114" s="48">
        <f t="shared" si="285"/>
        <v>0.24831341139990348</v>
      </c>
      <c r="DE114" s="48">
        <f t="shared" si="286"/>
        <v>0.31487514275595174</v>
      </c>
      <c r="DF114" s="48">
        <f t="shared" si="287"/>
        <v>0.22019568132752165</v>
      </c>
      <c r="DG114" s="48">
        <f t="shared" si="288"/>
        <v>0.30674274300518833</v>
      </c>
      <c r="DH114" s="48">
        <f t="shared" si="289"/>
        <v>0.31694420684785785</v>
      </c>
      <c r="DI114" s="48">
        <f t="shared" si="290"/>
        <v>-2.4683761740853738E-2</v>
      </c>
      <c r="DJ114" s="48">
        <f t="shared" si="291"/>
        <v>-0.32371038222828252</v>
      </c>
      <c r="DK114" s="48">
        <f t="shared" si="292"/>
        <v>-0.12180036507229564</v>
      </c>
      <c r="DL114" s="48">
        <f t="shared" si="293"/>
        <v>-0.10235887772986774</v>
      </c>
      <c r="DM114" s="48">
        <f t="shared" si="294"/>
        <v>-3.715130747511286E-3</v>
      </c>
      <c r="DN114" s="48">
        <f t="shared" si="295"/>
        <v>-1.170872212440599E-2</v>
      </c>
      <c r="DO114" s="48">
        <f t="shared" si="296"/>
        <v>-1.8665350632235178E-2</v>
      </c>
      <c r="DP114" s="48" t="str">
        <f t="shared" si="297"/>
        <v/>
      </c>
      <c r="DQ114" s="48" t="str">
        <f t="shared" si="298"/>
        <v/>
      </c>
      <c r="DR114" s="48" t="str">
        <f t="shared" si="299"/>
        <v/>
      </c>
      <c r="DS114" s="48" t="str">
        <f t="shared" si="300"/>
        <v/>
      </c>
      <c r="DT114" s="48" t="str">
        <f t="shared" si="301"/>
        <v/>
      </c>
      <c r="DU114" s="48" t="str">
        <f t="shared" si="302"/>
        <v/>
      </c>
      <c r="DV114" s="48" t="str">
        <f t="shared" si="303"/>
        <v/>
      </c>
      <c r="DW114" s="48" t="str">
        <f t="shared" si="304"/>
        <v/>
      </c>
      <c r="DX114" s="48" t="str">
        <f t="shared" si="305"/>
        <v/>
      </c>
      <c r="DY114" s="48" t="str">
        <f t="shared" si="306"/>
        <v/>
      </c>
      <c r="DZ114" s="48" t="str">
        <f t="shared" si="307"/>
        <v/>
      </c>
      <c r="EA114" s="48" t="str">
        <f t="shared" si="308"/>
        <v/>
      </c>
      <c r="EB114" s="48" t="str">
        <f t="shared" si="309"/>
        <v/>
      </c>
      <c r="EC114" s="48" t="str">
        <f t="shared" si="310"/>
        <v/>
      </c>
      <c r="ED114" s="48" t="str">
        <f t="shared" si="311"/>
        <v/>
      </c>
      <c r="EE114" s="48" t="str">
        <f t="shared" si="312"/>
        <v/>
      </c>
      <c r="EF114" s="48" t="str">
        <f t="shared" si="313"/>
        <v/>
      </c>
      <c r="EG114" s="48" t="str">
        <f t="shared" si="314"/>
        <v/>
      </c>
      <c r="EH114" s="48" t="str">
        <f t="shared" si="315"/>
        <v/>
      </c>
      <c r="EI114" s="48" t="str">
        <f t="shared" si="316"/>
        <v/>
      </c>
      <c r="EJ114" s="48" t="str">
        <f t="shared" si="317"/>
        <v/>
      </c>
      <c r="EK114" s="48" t="str">
        <f t="shared" si="318"/>
        <v/>
      </c>
      <c r="EL114" s="48" t="str">
        <f t="shared" si="319"/>
        <v/>
      </c>
    </row>
    <row r="115" spans="2:142" x14ac:dyDescent="0.25">
      <c r="B115" s="22">
        <f t="shared" si="320"/>
        <v>24</v>
      </c>
      <c r="C115" s="23" t="str">
        <f t="shared" si="320"/>
        <v>ZAPALLO ITALIANO</v>
      </c>
      <c r="D115" s="24">
        <f t="shared" si="320"/>
        <v>3.8430000000000002E-4</v>
      </c>
      <c r="E115" s="24">
        <f t="shared" si="320"/>
        <v>3.1181539360303789E-3</v>
      </c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 t="str">
        <f t="shared" si="196"/>
        <v/>
      </c>
      <c r="T115" s="48" t="str">
        <f t="shared" si="197"/>
        <v/>
      </c>
      <c r="U115" s="48" t="str">
        <f t="shared" si="198"/>
        <v/>
      </c>
      <c r="V115" s="48" t="str">
        <f t="shared" si="199"/>
        <v/>
      </c>
      <c r="W115" s="48">
        <f t="shared" si="200"/>
        <v>8.8649216872643155E-2</v>
      </c>
      <c r="X115" s="48">
        <f t="shared" si="201"/>
        <v>0.24051214802992971</v>
      </c>
      <c r="Y115" s="48">
        <f t="shared" si="202"/>
        <v>0.32729938199098707</v>
      </c>
      <c r="Z115" s="48">
        <f t="shared" si="203"/>
        <v>7.9562091145717551E-2</v>
      </c>
      <c r="AA115" s="48">
        <f t="shared" si="204"/>
        <v>0.11955138591217551</v>
      </c>
      <c r="AB115" s="48">
        <f t="shared" si="205"/>
        <v>0.14291372605623276</v>
      </c>
      <c r="AC115" s="48">
        <f t="shared" si="206"/>
        <v>-9.9623499315581121E-2</v>
      </c>
      <c r="AD115" s="48">
        <f t="shared" si="207"/>
        <v>-9.4501005845987196E-3</v>
      </c>
      <c r="AE115" s="48">
        <f t="shared" si="208"/>
        <v>0.202125919745477</v>
      </c>
      <c r="AF115" s="48">
        <f t="shared" si="209"/>
        <v>4.9872256715394414E-2</v>
      </c>
      <c r="AG115" s="48">
        <f t="shared" si="210"/>
        <v>6.4946547147700873E-2</v>
      </c>
      <c r="AH115" s="48">
        <f t="shared" si="211"/>
        <v>0.22324292767685194</v>
      </c>
      <c r="AI115" s="48">
        <f t="shared" si="212"/>
        <v>0.70781750247887554</v>
      </c>
      <c r="AJ115" s="48">
        <f t="shared" si="213"/>
        <v>0.41582125211214382</v>
      </c>
      <c r="AK115" s="48">
        <f t="shared" si="214"/>
        <v>4.6369921191593333E-2</v>
      </c>
      <c r="AL115" s="48">
        <f t="shared" si="215"/>
        <v>0.30897518996358153</v>
      </c>
      <c r="AM115" s="48">
        <f t="shared" si="216"/>
        <v>0.21651475425386613</v>
      </c>
      <c r="AN115" s="48">
        <f t="shared" si="217"/>
        <v>0.25538712786919415</v>
      </c>
      <c r="AO115" s="48">
        <f t="shared" si="218"/>
        <v>3.2371677567614388E-2</v>
      </c>
      <c r="AP115" s="48">
        <f t="shared" si="219"/>
        <v>-3.7691621912806061E-2</v>
      </c>
      <c r="AQ115" s="48">
        <f t="shared" si="220"/>
        <v>-0.12068226731293263</v>
      </c>
      <c r="AR115" s="48">
        <f t="shared" si="221"/>
        <v>-9.3372511959130877E-2</v>
      </c>
      <c r="AS115" s="48">
        <f t="shared" si="222"/>
        <v>0.13115985159592136</v>
      </c>
      <c r="AT115" s="48">
        <f t="shared" si="223"/>
        <v>-1.6567435515819073E-2</v>
      </c>
      <c r="AU115" s="48">
        <f t="shared" si="224"/>
        <v>-0.27051914730894344</v>
      </c>
      <c r="AV115" s="48">
        <f t="shared" si="225"/>
        <v>-0.27326920327139215</v>
      </c>
      <c r="AW115" s="48">
        <f t="shared" si="226"/>
        <v>-0.10432212341103941</v>
      </c>
      <c r="AX115" s="48">
        <f t="shared" si="227"/>
        <v>-7.8421176423935646E-2</v>
      </c>
      <c r="AY115" s="48">
        <f t="shared" si="228"/>
        <v>-3.2105717366246012E-2</v>
      </c>
      <c r="AZ115" s="48">
        <f t="shared" si="229"/>
        <v>-0.12573290242969226</v>
      </c>
      <c r="BA115" s="48">
        <f t="shared" si="230"/>
        <v>5.6632605261621949E-2</v>
      </c>
      <c r="BB115" s="48">
        <f t="shared" si="231"/>
        <v>0.16176962644151782</v>
      </c>
      <c r="BC115" s="48">
        <f t="shared" si="232"/>
        <v>0.20685035838957444</v>
      </c>
      <c r="BD115" s="48">
        <f t="shared" si="233"/>
        <v>0.20562064839304184</v>
      </c>
      <c r="BE115" s="48">
        <f t="shared" si="234"/>
        <v>-4.2570481258743187E-2</v>
      </c>
      <c r="BF115" s="48">
        <f t="shared" si="235"/>
        <v>-6.5503206934664715E-2</v>
      </c>
      <c r="BG115" s="48">
        <f t="shared" si="236"/>
        <v>-7.3407737141227725E-2</v>
      </c>
      <c r="BH115" s="48">
        <f t="shared" si="237"/>
        <v>6.6089874709100993E-3</v>
      </c>
      <c r="BI115" s="48">
        <f t="shared" si="238"/>
        <v>-4.1250741697250737E-2</v>
      </c>
      <c r="BJ115" s="48">
        <f t="shared" si="239"/>
        <v>-0.23696533893861715</v>
      </c>
      <c r="BK115" s="48">
        <f t="shared" si="240"/>
        <v>-0.14877291708363116</v>
      </c>
      <c r="BL115" s="48">
        <f t="shared" si="241"/>
        <v>-6.2869391406606967E-3</v>
      </c>
      <c r="BM115" s="48">
        <f t="shared" si="242"/>
        <v>1.3815401226910051E-2</v>
      </c>
      <c r="BN115" s="48">
        <f t="shared" si="243"/>
        <v>0.1545707046922844</v>
      </c>
      <c r="BO115" s="48">
        <f t="shared" si="244"/>
        <v>0.35454695602250008</v>
      </c>
      <c r="BP115" s="48">
        <f t="shared" si="245"/>
        <v>0.4054466555509828</v>
      </c>
      <c r="BQ115" s="48">
        <f t="shared" si="246"/>
        <v>0.57019158416145088</v>
      </c>
      <c r="BR115" s="48">
        <f t="shared" si="247"/>
        <v>0.52287650783937112</v>
      </c>
      <c r="BS115" s="48">
        <f t="shared" si="248"/>
        <v>0.46879522016926112</v>
      </c>
      <c r="BT115" s="48">
        <f t="shared" si="249"/>
        <v>0.70641285602961745</v>
      </c>
      <c r="BU115" s="48">
        <f t="shared" si="250"/>
        <v>0.44375977529116328</v>
      </c>
      <c r="BV115" s="48">
        <f t="shared" si="251"/>
        <v>0.466520112832151</v>
      </c>
      <c r="BW115" s="48">
        <f t="shared" si="252"/>
        <v>0.27615931398252069</v>
      </c>
      <c r="BX115" s="48">
        <f t="shared" si="253"/>
        <v>0.49922874558689401</v>
      </c>
      <c r="BY115" s="48">
        <f t="shared" si="254"/>
        <v>0.57806084725027196</v>
      </c>
      <c r="BZ115" s="48">
        <f t="shared" si="255"/>
        <v>0.27813839995856893</v>
      </c>
      <c r="CA115" s="48">
        <f t="shared" si="256"/>
        <v>0.1159028881757711</v>
      </c>
      <c r="CB115" s="48">
        <f t="shared" si="257"/>
        <v>-8.8250312420142363E-2</v>
      </c>
      <c r="CC115" s="48">
        <f t="shared" si="258"/>
        <v>-0.12308877907184601</v>
      </c>
      <c r="CD115" s="48">
        <f t="shared" si="259"/>
        <v>-2.074607933615269E-2</v>
      </c>
      <c r="CE115" s="48">
        <f t="shared" si="260"/>
        <v>1.6032378378142198E-2</v>
      </c>
      <c r="CF115" s="48">
        <f t="shared" si="261"/>
        <v>-0.29444638996587313</v>
      </c>
      <c r="CG115" s="48">
        <f t="shared" si="262"/>
        <v>-0.17525478413063411</v>
      </c>
      <c r="CH115" s="48">
        <f t="shared" si="263"/>
        <v>-7.2088326760350041E-2</v>
      </c>
      <c r="CI115" s="48">
        <f t="shared" si="264"/>
        <v>-8.6729763154842487E-3</v>
      </c>
      <c r="CJ115" s="48">
        <f t="shared" si="265"/>
        <v>-0.23196189473661144</v>
      </c>
      <c r="CK115" s="48">
        <f t="shared" si="266"/>
        <v>-0.10069457858060338</v>
      </c>
      <c r="CL115" s="48">
        <f t="shared" si="267"/>
        <v>0.14866624617340007</v>
      </c>
      <c r="CM115" s="48">
        <f t="shared" si="268"/>
        <v>0.15251086683600756</v>
      </c>
      <c r="CN115" s="48">
        <f t="shared" si="269"/>
        <v>0.2757458783118214</v>
      </c>
      <c r="CO115" s="48">
        <f t="shared" si="270"/>
        <v>0.15720106291039437</v>
      </c>
      <c r="CP115" s="48">
        <f t="shared" si="271"/>
        <v>9.2590105436009429E-2</v>
      </c>
      <c r="CQ115" s="48">
        <f t="shared" si="272"/>
        <v>-3.7162758722048883E-2</v>
      </c>
      <c r="CR115" s="48">
        <f t="shared" si="273"/>
        <v>0.11285191883894452</v>
      </c>
      <c r="CS115" s="48">
        <f t="shared" si="274"/>
        <v>7.8572964002868506E-2</v>
      </c>
      <c r="CT115" s="48">
        <f t="shared" si="275"/>
        <v>0.11568623454390115</v>
      </c>
      <c r="CU115" s="48">
        <f t="shared" si="276"/>
        <v>0.14120334271524393</v>
      </c>
      <c r="CV115" s="48">
        <f t="shared" si="277"/>
        <v>0.19886281840109765</v>
      </c>
      <c r="CW115" s="48">
        <f t="shared" si="278"/>
        <v>0.10951041168819997</v>
      </c>
      <c r="CX115" s="48">
        <f t="shared" si="279"/>
        <v>0.10259983696858477</v>
      </c>
      <c r="CY115" s="48">
        <f t="shared" si="280"/>
        <v>0.17306705597784977</v>
      </c>
      <c r="CZ115" s="48">
        <f t="shared" si="281"/>
        <v>6.8847599015335881E-2</v>
      </c>
      <c r="DA115" s="48">
        <f t="shared" si="282"/>
        <v>0.11394444111501767</v>
      </c>
      <c r="DB115" s="48">
        <f t="shared" si="283"/>
        <v>0.22893305591374369</v>
      </c>
      <c r="DC115" s="48">
        <f t="shared" si="284"/>
        <v>0.35873455932081177</v>
      </c>
      <c r="DD115" s="48">
        <f t="shared" si="285"/>
        <v>0.30983035712686413</v>
      </c>
      <c r="DE115" s="48">
        <f t="shared" si="286"/>
        <v>0.17326622340147324</v>
      </c>
      <c r="DF115" s="48">
        <f t="shared" si="287"/>
        <v>7.8150683983734037E-2</v>
      </c>
      <c r="DG115" s="48">
        <f t="shared" si="288"/>
        <v>-2.3968816044607544E-2</v>
      </c>
      <c r="DH115" s="48">
        <f t="shared" si="289"/>
        <v>-0.15047556033170029</v>
      </c>
      <c r="DI115" s="48">
        <f t="shared" si="290"/>
        <v>-0.11504176568662638</v>
      </c>
      <c r="DJ115" s="48">
        <f t="shared" si="291"/>
        <v>8.3915899258930615E-3</v>
      </c>
      <c r="DK115" s="48">
        <f t="shared" si="292"/>
        <v>-8.0539127601509386E-2</v>
      </c>
      <c r="DL115" s="48">
        <f t="shared" si="293"/>
        <v>3.681613493694047E-2</v>
      </c>
      <c r="DM115" s="48">
        <f t="shared" si="294"/>
        <v>4.1225332985206586E-2</v>
      </c>
      <c r="DN115" s="48">
        <f t="shared" si="295"/>
        <v>4.8840262275688939E-3</v>
      </c>
      <c r="DO115" s="48">
        <f t="shared" si="296"/>
        <v>-0.17788755789958077</v>
      </c>
      <c r="DP115" s="48" t="str">
        <f t="shared" si="297"/>
        <v/>
      </c>
      <c r="DQ115" s="48" t="str">
        <f t="shared" si="298"/>
        <v/>
      </c>
      <c r="DR115" s="48" t="str">
        <f t="shared" si="299"/>
        <v/>
      </c>
      <c r="DS115" s="48" t="str">
        <f t="shared" si="300"/>
        <v/>
      </c>
      <c r="DT115" s="48" t="str">
        <f t="shared" si="301"/>
        <v/>
      </c>
      <c r="DU115" s="48" t="str">
        <f t="shared" si="302"/>
        <v/>
      </c>
      <c r="DV115" s="48" t="str">
        <f t="shared" si="303"/>
        <v/>
      </c>
      <c r="DW115" s="48" t="str">
        <f t="shared" si="304"/>
        <v/>
      </c>
      <c r="DX115" s="48" t="str">
        <f t="shared" si="305"/>
        <v/>
      </c>
      <c r="DY115" s="48" t="str">
        <f t="shared" si="306"/>
        <v/>
      </c>
      <c r="DZ115" s="48" t="str">
        <f t="shared" si="307"/>
        <v/>
      </c>
      <c r="EA115" s="48" t="str">
        <f t="shared" si="308"/>
        <v/>
      </c>
      <c r="EB115" s="48" t="str">
        <f t="shared" si="309"/>
        <v/>
      </c>
      <c r="EC115" s="48" t="str">
        <f t="shared" si="310"/>
        <v/>
      </c>
      <c r="ED115" s="48" t="str">
        <f t="shared" si="311"/>
        <v/>
      </c>
      <c r="EE115" s="48" t="str">
        <f t="shared" si="312"/>
        <v/>
      </c>
      <c r="EF115" s="48" t="str">
        <f t="shared" si="313"/>
        <v/>
      </c>
      <c r="EG115" s="48" t="str">
        <f t="shared" si="314"/>
        <v/>
      </c>
      <c r="EH115" s="48" t="str">
        <f t="shared" si="315"/>
        <v/>
      </c>
      <c r="EI115" s="48" t="str">
        <f t="shared" si="316"/>
        <v/>
      </c>
      <c r="EJ115" s="48" t="str">
        <f t="shared" si="317"/>
        <v/>
      </c>
      <c r="EK115" s="48" t="str">
        <f t="shared" si="318"/>
        <v/>
      </c>
      <c r="EL115" s="48" t="str">
        <f t="shared" si="319"/>
        <v/>
      </c>
    </row>
    <row r="116" spans="2:142" x14ac:dyDescent="0.25">
      <c r="B116" s="26">
        <f t="shared" si="320"/>
        <v>25</v>
      </c>
      <c r="C116" s="27" t="str">
        <f t="shared" si="320"/>
        <v>HUEVOS</v>
      </c>
      <c r="D116" s="28">
        <f t="shared" si="320"/>
        <v>3.3390999999999998E-3</v>
      </c>
      <c r="E116" s="28">
        <f t="shared" si="320"/>
        <v>2.7092968534475768E-2</v>
      </c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 t="str">
        <f t="shared" si="196"/>
        <v/>
      </c>
      <c r="T116" s="49" t="str">
        <f t="shared" si="197"/>
        <v/>
      </c>
      <c r="U116" s="49" t="str">
        <f t="shared" si="198"/>
        <v/>
      </c>
      <c r="V116" s="49" t="str">
        <f t="shared" si="199"/>
        <v/>
      </c>
      <c r="W116" s="49" t="str">
        <f t="shared" si="200"/>
        <v/>
      </c>
      <c r="X116" s="49" t="str">
        <f t="shared" si="201"/>
        <v/>
      </c>
      <c r="Y116" s="49" t="str">
        <f t="shared" si="202"/>
        <v/>
      </c>
      <c r="Z116" s="49" t="str">
        <f t="shared" si="203"/>
        <v/>
      </c>
      <c r="AA116" s="49" t="str">
        <f t="shared" si="204"/>
        <v/>
      </c>
      <c r="AB116" s="49" t="str">
        <f t="shared" si="205"/>
        <v/>
      </c>
      <c r="AC116" s="49" t="str">
        <f t="shared" si="206"/>
        <v/>
      </c>
      <c r="AD116" s="49" t="str">
        <f t="shared" si="207"/>
        <v/>
      </c>
      <c r="AE116" s="49" t="str">
        <f t="shared" si="208"/>
        <v/>
      </c>
      <c r="AF116" s="49" t="str">
        <f t="shared" si="209"/>
        <v/>
      </c>
      <c r="AG116" s="49" t="str">
        <f t="shared" si="210"/>
        <v/>
      </c>
      <c r="AH116" s="49" t="str">
        <f t="shared" si="211"/>
        <v/>
      </c>
      <c r="AI116" s="49" t="str">
        <f t="shared" si="212"/>
        <v/>
      </c>
      <c r="AJ116" s="49" t="str">
        <f t="shared" si="213"/>
        <v/>
      </c>
      <c r="AK116" s="49" t="str">
        <f t="shared" si="214"/>
        <v/>
      </c>
      <c r="AL116" s="49" t="str">
        <f t="shared" si="215"/>
        <v/>
      </c>
      <c r="AM116" s="49" t="str">
        <f t="shared" si="216"/>
        <v/>
      </c>
      <c r="AN116" s="49" t="str">
        <f t="shared" si="217"/>
        <v/>
      </c>
      <c r="AO116" s="49" t="str">
        <f t="shared" si="218"/>
        <v/>
      </c>
      <c r="AP116" s="49" t="str">
        <f t="shared" si="219"/>
        <v/>
      </c>
      <c r="AQ116" s="49" t="str">
        <f t="shared" si="220"/>
        <v/>
      </c>
      <c r="AR116" s="49" t="str">
        <f t="shared" si="221"/>
        <v/>
      </c>
      <c r="AS116" s="49" t="str">
        <f t="shared" si="222"/>
        <v/>
      </c>
      <c r="AT116" s="49" t="str">
        <f t="shared" si="223"/>
        <v/>
      </c>
      <c r="AU116" s="49" t="str">
        <f t="shared" si="224"/>
        <v/>
      </c>
      <c r="AV116" s="49" t="str">
        <f t="shared" si="225"/>
        <v/>
      </c>
      <c r="AW116" s="49" t="str">
        <f t="shared" si="226"/>
        <v/>
      </c>
      <c r="AX116" s="49" t="str">
        <f t="shared" si="227"/>
        <v/>
      </c>
      <c r="AY116" s="49" t="str">
        <f t="shared" si="228"/>
        <v/>
      </c>
      <c r="AZ116" s="49" t="str">
        <f t="shared" si="229"/>
        <v/>
      </c>
      <c r="BA116" s="49" t="str">
        <f t="shared" si="230"/>
        <v/>
      </c>
      <c r="BB116" s="49" t="str">
        <f t="shared" si="231"/>
        <v/>
      </c>
      <c r="BC116" s="49" t="str">
        <f t="shared" si="232"/>
        <v/>
      </c>
      <c r="BD116" s="49" t="str">
        <f t="shared" si="233"/>
        <v/>
      </c>
      <c r="BE116" s="49" t="str">
        <f t="shared" si="234"/>
        <v/>
      </c>
      <c r="BF116" s="49" t="str">
        <f t="shared" si="235"/>
        <v/>
      </c>
      <c r="BG116" s="49" t="str">
        <f t="shared" si="236"/>
        <v/>
      </c>
      <c r="BH116" s="49" t="str">
        <f t="shared" si="237"/>
        <v/>
      </c>
      <c r="BI116" s="49" t="str">
        <f t="shared" si="238"/>
        <v/>
      </c>
      <c r="BJ116" s="49" t="str">
        <f t="shared" si="239"/>
        <v/>
      </c>
      <c r="BK116" s="49" t="str">
        <f t="shared" si="240"/>
        <v/>
      </c>
      <c r="BL116" s="49" t="str">
        <f t="shared" si="241"/>
        <v/>
      </c>
      <c r="BM116" s="49" t="str">
        <f t="shared" si="242"/>
        <v/>
      </c>
      <c r="BN116" s="49" t="str">
        <f t="shared" si="243"/>
        <v/>
      </c>
      <c r="BO116" s="49" t="str">
        <f t="shared" si="244"/>
        <v/>
      </c>
      <c r="BP116" s="49" t="str">
        <f t="shared" si="245"/>
        <v/>
      </c>
      <c r="BQ116" s="49" t="str">
        <f t="shared" si="246"/>
        <v/>
      </c>
      <c r="BR116" s="49" t="str">
        <f t="shared" si="247"/>
        <v/>
      </c>
      <c r="BS116" s="49" t="str">
        <f t="shared" si="248"/>
        <v/>
      </c>
      <c r="BT116" s="49" t="str">
        <f t="shared" si="249"/>
        <v/>
      </c>
      <c r="BU116" s="49" t="str">
        <f t="shared" si="250"/>
        <v/>
      </c>
      <c r="BV116" s="49" t="str">
        <f t="shared" si="251"/>
        <v/>
      </c>
      <c r="BW116" s="49" t="str">
        <f t="shared" si="252"/>
        <v/>
      </c>
      <c r="BX116" s="49" t="str">
        <f t="shared" si="253"/>
        <v/>
      </c>
      <c r="BY116" s="49" t="str">
        <f t="shared" si="254"/>
        <v/>
      </c>
      <c r="BZ116" s="49" t="str">
        <f t="shared" si="255"/>
        <v/>
      </c>
      <c r="CA116" s="49">
        <f t="shared" si="256"/>
        <v>4.0968469767341364E-2</v>
      </c>
      <c r="CB116" s="49">
        <f t="shared" si="257"/>
        <v>6.5965777020908556E-2</v>
      </c>
      <c r="CC116" s="49">
        <f t="shared" si="258"/>
        <v>7.6900159993320782E-2</v>
      </c>
      <c r="CD116" s="49">
        <f t="shared" si="259"/>
        <v>4.8082238040225267E-2</v>
      </c>
      <c r="CE116" s="49">
        <f t="shared" si="260"/>
        <v>6.8248265414487808E-2</v>
      </c>
      <c r="CF116" s="49">
        <f t="shared" si="261"/>
        <v>0.1011410145521221</v>
      </c>
      <c r="CG116" s="49">
        <f t="shared" si="262"/>
        <v>0.11766182689193738</v>
      </c>
      <c r="CH116" s="49">
        <f t="shared" si="263"/>
        <v>0.12860987047780847</v>
      </c>
      <c r="CI116" s="49">
        <f t="shared" si="264"/>
        <v>0.13771537913345311</v>
      </c>
      <c r="CJ116" s="49">
        <f t="shared" si="265"/>
        <v>0.13623860298265611</v>
      </c>
      <c r="CK116" s="49">
        <f t="shared" si="266"/>
        <v>0.14657341357755094</v>
      </c>
      <c r="CL116" s="49">
        <f t="shared" si="267"/>
        <v>0.14650494206590925</v>
      </c>
      <c r="CM116" s="49">
        <f t="shared" si="268"/>
        <v>0.16809691292179818</v>
      </c>
      <c r="CN116" s="49">
        <f t="shared" si="269"/>
        <v>0.14826991328362538</v>
      </c>
      <c r="CO116" s="49">
        <f t="shared" si="270"/>
        <v>0.13700034440900821</v>
      </c>
      <c r="CP116" s="49">
        <f t="shared" si="271"/>
        <v>0.15844102057427145</v>
      </c>
      <c r="CQ116" s="49">
        <f t="shared" si="272"/>
        <v>0.15941408258624401</v>
      </c>
      <c r="CR116" s="49">
        <f t="shared" si="273"/>
        <v>0.14520384843117995</v>
      </c>
      <c r="CS116" s="49">
        <f t="shared" si="274"/>
        <v>0.14049617763335509</v>
      </c>
      <c r="CT116" s="49">
        <f t="shared" si="275"/>
        <v>0.12258127409766773</v>
      </c>
      <c r="CU116" s="49">
        <f t="shared" si="276"/>
        <v>0.11184114889966112</v>
      </c>
      <c r="CV116" s="49">
        <f t="shared" si="277"/>
        <v>8.161780999521473E-2</v>
      </c>
      <c r="CW116" s="49">
        <f t="shared" si="278"/>
        <v>6.8087129813483083E-2</v>
      </c>
      <c r="CX116" s="49">
        <f t="shared" si="279"/>
        <v>6.529600342528652E-2</v>
      </c>
      <c r="CY116" s="49">
        <f t="shared" si="280"/>
        <v>6.9666188742226298E-2</v>
      </c>
      <c r="CZ116" s="49">
        <f t="shared" si="281"/>
        <v>6.2199292087154134E-2</v>
      </c>
      <c r="DA116" s="49">
        <f t="shared" si="282"/>
        <v>7.2891546821247211E-2</v>
      </c>
      <c r="DB116" s="49">
        <f t="shared" si="283"/>
        <v>6.0604084621869392E-2</v>
      </c>
      <c r="DC116" s="49">
        <f t="shared" si="284"/>
        <v>3.305762627871256E-2</v>
      </c>
      <c r="DD116" s="49">
        <f t="shared" si="285"/>
        <v>-8.8266146259108336E-4</v>
      </c>
      <c r="DE116" s="49">
        <f t="shared" si="286"/>
        <v>-2.9976996315857929E-2</v>
      </c>
      <c r="DF116" s="49">
        <f t="shared" si="287"/>
        <v>-3.1608918202338798E-2</v>
      </c>
      <c r="DG116" s="49">
        <f t="shared" si="288"/>
        <v>-2.1015275541185874E-2</v>
      </c>
      <c r="DH116" s="49">
        <f t="shared" si="289"/>
        <v>-8.4399236172323366E-3</v>
      </c>
      <c r="DI116" s="49">
        <f t="shared" si="290"/>
        <v>-8.8208472228734625E-4</v>
      </c>
      <c r="DJ116" s="49">
        <f t="shared" si="291"/>
        <v>-6.4530480745431662E-3</v>
      </c>
      <c r="DK116" s="49">
        <f t="shared" si="292"/>
        <v>-1.0788697870185548E-2</v>
      </c>
      <c r="DL116" s="49">
        <f t="shared" si="293"/>
        <v>-7.893277981192548E-3</v>
      </c>
      <c r="DM116" s="49">
        <f t="shared" si="294"/>
        <v>-2.2038898532645623E-2</v>
      </c>
      <c r="DN116" s="49">
        <f t="shared" si="295"/>
        <v>-9.2590398241123584E-3</v>
      </c>
      <c r="DO116" s="49">
        <f t="shared" si="296"/>
        <v>-1.4500535881190935E-2</v>
      </c>
      <c r="DP116" s="49" t="str">
        <f t="shared" si="297"/>
        <v/>
      </c>
      <c r="DQ116" s="49" t="str">
        <f t="shared" si="298"/>
        <v/>
      </c>
      <c r="DR116" s="49" t="str">
        <f t="shared" si="299"/>
        <v/>
      </c>
      <c r="DS116" s="49" t="str">
        <f t="shared" si="300"/>
        <v/>
      </c>
      <c r="DT116" s="49" t="str">
        <f t="shared" si="301"/>
        <v/>
      </c>
      <c r="DU116" s="49" t="str">
        <f t="shared" si="302"/>
        <v/>
      </c>
      <c r="DV116" s="49" t="str">
        <f t="shared" si="303"/>
        <v/>
      </c>
      <c r="DW116" s="49" t="str">
        <f t="shared" si="304"/>
        <v/>
      </c>
      <c r="DX116" s="49" t="str">
        <f t="shared" si="305"/>
        <v/>
      </c>
      <c r="DY116" s="49" t="str">
        <f t="shared" si="306"/>
        <v/>
      </c>
      <c r="DZ116" s="49" t="str">
        <f t="shared" si="307"/>
        <v/>
      </c>
      <c r="EA116" s="49" t="str">
        <f t="shared" si="308"/>
        <v/>
      </c>
      <c r="EB116" s="49" t="str">
        <f t="shared" si="309"/>
        <v/>
      </c>
      <c r="EC116" s="49" t="str">
        <f t="shared" si="310"/>
        <v/>
      </c>
      <c r="ED116" s="49" t="str">
        <f t="shared" si="311"/>
        <v/>
      </c>
      <c r="EE116" s="49" t="str">
        <f t="shared" si="312"/>
        <v/>
      </c>
      <c r="EF116" s="49" t="str">
        <f t="shared" si="313"/>
        <v/>
      </c>
      <c r="EG116" s="49" t="str">
        <f t="shared" si="314"/>
        <v/>
      </c>
      <c r="EH116" s="49" t="str">
        <f t="shared" si="315"/>
        <v/>
      </c>
      <c r="EI116" s="49" t="str">
        <f t="shared" si="316"/>
        <v/>
      </c>
      <c r="EJ116" s="49" t="str">
        <f t="shared" si="317"/>
        <v/>
      </c>
      <c r="EK116" s="49" t="str">
        <f t="shared" si="318"/>
        <v/>
      </c>
      <c r="EL116" s="49" t="str">
        <f t="shared" si="319"/>
        <v/>
      </c>
    </row>
    <row r="117" spans="2:142" x14ac:dyDescent="0.25">
      <c r="B117" s="30">
        <f t="shared" si="320"/>
        <v>26</v>
      </c>
      <c r="C117" s="31" t="str">
        <f t="shared" si="320"/>
        <v>LECHE EN POLVO</v>
      </c>
      <c r="D117" s="32">
        <f t="shared" si="320"/>
        <v>2.0152E-3</v>
      </c>
      <c r="E117" s="32">
        <f t="shared" si="320"/>
        <v>1.6351037761874628E-2</v>
      </c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 t="str">
        <f t="shared" si="196"/>
        <v/>
      </c>
      <c r="T117" s="50" t="str">
        <f t="shared" si="197"/>
        <v/>
      </c>
      <c r="U117" s="50" t="str">
        <f t="shared" si="198"/>
        <v/>
      </c>
      <c r="V117" s="50" t="str">
        <f t="shared" si="199"/>
        <v/>
      </c>
      <c r="W117" s="50" t="str">
        <f t="shared" si="200"/>
        <v/>
      </c>
      <c r="X117" s="50" t="str">
        <f t="shared" si="201"/>
        <v/>
      </c>
      <c r="Y117" s="50" t="str">
        <f t="shared" si="202"/>
        <v/>
      </c>
      <c r="Z117" s="50" t="str">
        <f t="shared" si="203"/>
        <v/>
      </c>
      <c r="AA117" s="50" t="str">
        <f t="shared" si="204"/>
        <v/>
      </c>
      <c r="AB117" s="50" t="str">
        <f t="shared" si="205"/>
        <v/>
      </c>
      <c r="AC117" s="50" t="str">
        <f t="shared" si="206"/>
        <v/>
      </c>
      <c r="AD117" s="50" t="str">
        <f t="shared" si="207"/>
        <v/>
      </c>
      <c r="AE117" s="50" t="str">
        <f t="shared" si="208"/>
        <v/>
      </c>
      <c r="AF117" s="50" t="str">
        <f t="shared" si="209"/>
        <v/>
      </c>
      <c r="AG117" s="50" t="str">
        <f t="shared" si="210"/>
        <v/>
      </c>
      <c r="AH117" s="50" t="str">
        <f t="shared" si="211"/>
        <v/>
      </c>
      <c r="AI117" s="50" t="str">
        <f t="shared" si="212"/>
        <v/>
      </c>
      <c r="AJ117" s="50" t="str">
        <f t="shared" si="213"/>
        <v/>
      </c>
      <c r="AK117" s="50" t="str">
        <f t="shared" si="214"/>
        <v/>
      </c>
      <c r="AL117" s="50" t="str">
        <f t="shared" si="215"/>
        <v/>
      </c>
      <c r="AM117" s="50" t="str">
        <f t="shared" si="216"/>
        <v/>
      </c>
      <c r="AN117" s="50" t="str">
        <f t="shared" si="217"/>
        <v/>
      </c>
      <c r="AO117" s="50" t="str">
        <f t="shared" si="218"/>
        <v/>
      </c>
      <c r="AP117" s="50" t="str">
        <f t="shared" si="219"/>
        <v/>
      </c>
      <c r="AQ117" s="50" t="str">
        <f t="shared" si="220"/>
        <v/>
      </c>
      <c r="AR117" s="50" t="str">
        <f t="shared" si="221"/>
        <v/>
      </c>
      <c r="AS117" s="50">
        <f t="shared" si="222"/>
        <v>-3.6006127094028284E-2</v>
      </c>
      <c r="AT117" s="50">
        <f t="shared" si="223"/>
        <v>9.4315087698397804E-3</v>
      </c>
      <c r="AU117" s="50" t="str">
        <f t="shared" si="224"/>
        <v/>
      </c>
      <c r="AV117" s="50">
        <f t="shared" si="225"/>
        <v>6.8338127062927301E-2</v>
      </c>
      <c r="AW117" s="50">
        <f t="shared" si="226"/>
        <v>5.659481168369207E-2</v>
      </c>
      <c r="AX117" s="50" t="str">
        <f t="shared" si="227"/>
        <v/>
      </c>
      <c r="AY117" s="50">
        <f t="shared" si="228"/>
        <v>4.4659380963207651E-2</v>
      </c>
      <c r="AZ117" s="50" t="str">
        <f t="shared" si="229"/>
        <v/>
      </c>
      <c r="BA117" s="50" t="str">
        <f t="shared" si="230"/>
        <v/>
      </c>
      <c r="BB117" s="50">
        <f t="shared" si="231"/>
        <v>3.5007646181004493E-2</v>
      </c>
      <c r="BC117" s="50" t="str">
        <f t="shared" si="232"/>
        <v/>
      </c>
      <c r="BD117" s="50" t="str">
        <f t="shared" si="233"/>
        <v/>
      </c>
      <c r="BE117" s="50">
        <f t="shared" si="234"/>
        <v>7.4480912661932352E-2</v>
      </c>
      <c r="BF117" s="50" t="str">
        <f t="shared" si="235"/>
        <v/>
      </c>
      <c r="BG117" s="50" t="str">
        <f t="shared" si="236"/>
        <v/>
      </c>
      <c r="BH117" s="50">
        <f t="shared" si="237"/>
        <v>4.6222353621201862E-2</v>
      </c>
      <c r="BI117" s="50" t="str">
        <f t="shared" si="238"/>
        <v/>
      </c>
      <c r="BJ117" s="50">
        <f t="shared" si="239"/>
        <v>7.314036327297524E-2</v>
      </c>
      <c r="BK117" s="50">
        <f t="shared" si="240"/>
        <v>7.7081362141395049E-2</v>
      </c>
      <c r="BL117" s="50" t="str">
        <f t="shared" si="241"/>
        <v/>
      </c>
      <c r="BM117" s="50">
        <f t="shared" si="242"/>
        <v>2.930162694772287E-2</v>
      </c>
      <c r="BN117" s="50">
        <f t="shared" si="243"/>
        <v>3.0190097247632997E-2</v>
      </c>
      <c r="BO117" s="50" t="str">
        <f t="shared" si="244"/>
        <v/>
      </c>
      <c r="BP117" s="50">
        <f t="shared" si="245"/>
        <v>1.4791453927739839E-2</v>
      </c>
      <c r="BQ117" s="50">
        <f t="shared" si="246"/>
        <v>1.9547583571037475E-2</v>
      </c>
      <c r="BR117" s="50" t="str">
        <f t="shared" si="247"/>
        <v/>
      </c>
      <c r="BS117" s="50">
        <f t="shared" si="248"/>
        <v>1.9630529938015062E-3</v>
      </c>
      <c r="BT117" s="50">
        <f t="shared" si="249"/>
        <v>-6.4073206377517566E-2</v>
      </c>
      <c r="BU117" s="50" t="str">
        <f t="shared" si="250"/>
        <v/>
      </c>
      <c r="BV117" s="50">
        <f t="shared" si="251"/>
        <v>-6.4207569791138064E-2</v>
      </c>
      <c r="BW117" s="50">
        <f t="shared" si="252"/>
        <v>-4.5009550884167804E-2</v>
      </c>
      <c r="BX117" s="50">
        <f t="shared" si="253"/>
        <v>-5.2346733522823929E-2</v>
      </c>
      <c r="BY117" s="50">
        <f t="shared" si="254"/>
        <v>-3.7560313269429102E-3</v>
      </c>
      <c r="BZ117" s="50">
        <f t="shared" si="255"/>
        <v>-2.8608363326385833E-2</v>
      </c>
      <c r="CA117" s="50">
        <f t="shared" si="256"/>
        <v>-2.2107577263414724E-2</v>
      </c>
      <c r="CB117" s="50">
        <f t="shared" si="257"/>
        <v>8.8155348405252187E-3</v>
      </c>
      <c r="CC117" s="50">
        <f t="shared" si="258"/>
        <v>3.5135292641421012E-2</v>
      </c>
      <c r="CD117" s="50">
        <f t="shared" si="259"/>
        <v>5.9135626515734785E-2</v>
      </c>
      <c r="CE117" s="50">
        <f t="shared" si="260"/>
        <v>8.0746868114594417E-2</v>
      </c>
      <c r="CF117" s="50">
        <f t="shared" si="261"/>
        <v>0.14919447971928945</v>
      </c>
      <c r="CG117" s="50">
        <f t="shared" si="262"/>
        <v>0.13152718625812287</v>
      </c>
      <c r="CH117" s="50">
        <f t="shared" si="263"/>
        <v>8.1089011683468382E-2</v>
      </c>
      <c r="CI117" s="50">
        <f t="shared" si="264"/>
        <v>5.7674549056687452E-2</v>
      </c>
      <c r="CJ117" s="50">
        <f t="shared" si="265"/>
        <v>0.13324927073220971</v>
      </c>
      <c r="CK117" s="50">
        <f t="shared" si="266"/>
        <v>0.11275999451760188</v>
      </c>
      <c r="CL117" s="50">
        <f t="shared" si="267"/>
        <v>0.10913441543171021</v>
      </c>
      <c r="CM117" s="50">
        <f t="shared" si="268"/>
        <v>0.11560498648427475</v>
      </c>
      <c r="CN117" s="50">
        <f t="shared" si="269"/>
        <v>9.3181366380499675E-2</v>
      </c>
      <c r="CO117" s="50">
        <f t="shared" si="270"/>
        <v>6.7744869336004987E-2</v>
      </c>
      <c r="CP117" s="50">
        <f t="shared" si="271"/>
        <v>5.0365197098613868E-2</v>
      </c>
      <c r="CQ117" s="50">
        <f t="shared" si="272"/>
        <v>4.1801400199082961E-2</v>
      </c>
      <c r="CR117" s="50">
        <f t="shared" si="273"/>
        <v>1.6829245598088738E-2</v>
      </c>
      <c r="CS117" s="50">
        <f t="shared" si="274"/>
        <v>5.1190142519589976E-2</v>
      </c>
      <c r="CT117" s="50">
        <f t="shared" si="275"/>
        <v>4.1414814102592956E-2</v>
      </c>
      <c r="CU117" s="50">
        <f t="shared" si="276"/>
        <v>5.9596268815591991E-2</v>
      </c>
      <c r="CV117" s="50">
        <f t="shared" si="277"/>
        <v>8.6160347856159003E-3</v>
      </c>
      <c r="CW117" s="50">
        <f t="shared" si="278"/>
        <v>1.2499839874611007E-2</v>
      </c>
      <c r="CX117" s="50">
        <f t="shared" si="279"/>
        <v>4.3693100369630145E-2</v>
      </c>
      <c r="CY117" s="50">
        <f t="shared" si="280"/>
        <v>3.9362207950353056E-2</v>
      </c>
      <c r="CZ117" s="50">
        <f t="shared" si="281"/>
        <v>6.403055209296582E-2</v>
      </c>
      <c r="DA117" s="50">
        <f t="shared" si="282"/>
        <v>4.4964232127079562E-2</v>
      </c>
      <c r="DB117" s="50">
        <f t="shared" si="283"/>
        <v>3.2140928869301533E-2</v>
      </c>
      <c r="DC117" s="50">
        <f t="shared" si="284"/>
        <v>2.6576752858808117E-2</v>
      </c>
      <c r="DD117" s="50">
        <f t="shared" si="285"/>
        <v>3.0895851349959091E-3</v>
      </c>
      <c r="DE117" s="50">
        <f t="shared" si="286"/>
        <v>4.3099808055451216E-3</v>
      </c>
      <c r="DF117" s="50">
        <f t="shared" si="287"/>
        <v>3.559895437972882E-2</v>
      </c>
      <c r="DG117" s="50">
        <f t="shared" si="288"/>
        <v>3.3544684137332359E-2</v>
      </c>
      <c r="DH117" s="50">
        <f t="shared" si="289"/>
        <v>3.1843640396824524E-2</v>
      </c>
      <c r="DI117" s="50">
        <f t="shared" si="290"/>
        <v>3.0482210033763169E-2</v>
      </c>
      <c r="DJ117" s="50">
        <f t="shared" si="291"/>
        <v>-1.8298784348450003E-2</v>
      </c>
      <c r="DK117" s="50">
        <f t="shared" si="292"/>
        <v>-8.5276238999416609E-3</v>
      </c>
      <c r="DL117" s="50">
        <f t="shared" si="293"/>
        <v>-4.2405230863620247E-3</v>
      </c>
      <c r="DM117" s="50">
        <f t="shared" si="294"/>
        <v>2.4710854658016368E-2</v>
      </c>
      <c r="DN117" s="50">
        <f t="shared" si="295"/>
        <v>7.7974163801621366E-2</v>
      </c>
      <c r="DO117" s="50">
        <f t="shared" si="296"/>
        <v>7.4008189468026231E-2</v>
      </c>
      <c r="DP117" s="50" t="str">
        <f t="shared" si="297"/>
        <v/>
      </c>
      <c r="DQ117" s="50" t="str">
        <f t="shared" si="298"/>
        <v/>
      </c>
      <c r="DR117" s="50" t="str">
        <f t="shared" si="299"/>
        <v/>
      </c>
      <c r="DS117" s="50" t="str">
        <f t="shared" si="300"/>
        <v/>
      </c>
      <c r="DT117" s="50" t="str">
        <f t="shared" si="301"/>
        <v/>
      </c>
      <c r="DU117" s="50" t="str">
        <f t="shared" si="302"/>
        <v/>
      </c>
      <c r="DV117" s="50" t="str">
        <f t="shared" si="303"/>
        <v/>
      </c>
      <c r="DW117" s="50" t="str">
        <f t="shared" si="304"/>
        <v/>
      </c>
      <c r="DX117" s="50" t="str">
        <f t="shared" si="305"/>
        <v/>
      </c>
      <c r="DY117" s="50" t="str">
        <f t="shared" si="306"/>
        <v/>
      </c>
      <c r="DZ117" s="50" t="str">
        <f t="shared" si="307"/>
        <v/>
      </c>
      <c r="EA117" s="50" t="str">
        <f t="shared" si="308"/>
        <v/>
      </c>
      <c r="EB117" s="50" t="str">
        <f t="shared" si="309"/>
        <v/>
      </c>
      <c r="EC117" s="50" t="str">
        <f t="shared" si="310"/>
        <v/>
      </c>
      <c r="ED117" s="50" t="str">
        <f t="shared" si="311"/>
        <v/>
      </c>
      <c r="EE117" s="50" t="str">
        <f t="shared" si="312"/>
        <v/>
      </c>
      <c r="EF117" s="50" t="str">
        <f t="shared" si="313"/>
        <v/>
      </c>
      <c r="EG117" s="50" t="str">
        <f t="shared" si="314"/>
        <v/>
      </c>
      <c r="EH117" s="50" t="str">
        <f t="shared" si="315"/>
        <v/>
      </c>
      <c r="EI117" s="50" t="str">
        <f t="shared" si="316"/>
        <v/>
      </c>
      <c r="EJ117" s="50" t="str">
        <f t="shared" si="317"/>
        <v/>
      </c>
      <c r="EK117" s="50" t="str">
        <f t="shared" si="318"/>
        <v/>
      </c>
      <c r="EL117" s="50" t="str">
        <f t="shared" si="319"/>
        <v/>
      </c>
    </row>
    <row r="118" spans="2:142" x14ac:dyDescent="0.25">
      <c r="B118" s="34">
        <f t="shared" si="320"/>
        <v>27</v>
      </c>
      <c r="C118" s="35" t="str">
        <f t="shared" si="320"/>
        <v>LECHE LÍQUIDA</v>
      </c>
      <c r="D118" s="36">
        <f t="shared" si="320"/>
        <v>4.8948999999999998E-3</v>
      </c>
      <c r="E118" s="36">
        <f t="shared" si="320"/>
        <v>3.9716501955438722E-2</v>
      </c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 t="str">
        <f t="shared" si="196"/>
        <v/>
      </c>
      <c r="T118" s="51" t="str">
        <f t="shared" si="197"/>
        <v/>
      </c>
      <c r="U118" s="51" t="str">
        <f t="shared" si="198"/>
        <v/>
      </c>
      <c r="V118" s="51" t="str">
        <f t="shared" si="199"/>
        <v/>
      </c>
      <c r="W118" s="51" t="str">
        <f t="shared" si="200"/>
        <v/>
      </c>
      <c r="X118" s="51" t="str">
        <f t="shared" si="201"/>
        <v/>
      </c>
      <c r="Y118" s="51" t="str">
        <f t="shared" si="202"/>
        <v/>
      </c>
      <c r="Z118" s="51" t="str">
        <f t="shared" si="203"/>
        <v/>
      </c>
      <c r="AA118" s="51" t="str">
        <f t="shared" si="204"/>
        <v/>
      </c>
      <c r="AB118" s="51" t="str">
        <f t="shared" si="205"/>
        <v/>
      </c>
      <c r="AC118" s="51" t="str">
        <f t="shared" si="206"/>
        <v/>
      </c>
      <c r="AD118" s="51" t="str">
        <f t="shared" si="207"/>
        <v/>
      </c>
      <c r="AE118" s="51" t="str">
        <f t="shared" si="208"/>
        <v/>
      </c>
      <c r="AF118" s="51" t="str">
        <f t="shared" si="209"/>
        <v/>
      </c>
      <c r="AG118" s="51" t="str">
        <f t="shared" si="210"/>
        <v/>
      </c>
      <c r="AH118" s="51" t="str">
        <f t="shared" si="211"/>
        <v/>
      </c>
      <c r="AI118" s="51" t="str">
        <f t="shared" si="212"/>
        <v/>
      </c>
      <c r="AJ118" s="51" t="str">
        <f t="shared" si="213"/>
        <v/>
      </c>
      <c r="AK118" s="51">
        <f t="shared" si="214"/>
        <v>1.1396396926440122E-2</v>
      </c>
      <c r="AL118" s="51" t="str">
        <f t="shared" si="215"/>
        <v/>
      </c>
      <c r="AM118" s="51">
        <f t="shared" si="216"/>
        <v>5.9597240352691205E-3</v>
      </c>
      <c r="AN118" s="51">
        <f t="shared" si="217"/>
        <v>3.6882482712988773E-2</v>
      </c>
      <c r="AO118" s="51" t="str">
        <f t="shared" si="218"/>
        <v/>
      </c>
      <c r="AP118" s="51">
        <f t="shared" si="219"/>
        <v>1.9565273446642717E-2</v>
      </c>
      <c r="AQ118" s="51">
        <f t="shared" si="220"/>
        <v>2.2514769950773506E-2</v>
      </c>
      <c r="AR118" s="51" t="str">
        <f t="shared" si="221"/>
        <v/>
      </c>
      <c r="AS118" s="51">
        <f t="shared" si="222"/>
        <v>5.6154424407465653E-2</v>
      </c>
      <c r="AT118" s="51">
        <f t="shared" si="223"/>
        <v>0.10778191533326487</v>
      </c>
      <c r="AU118" s="51" t="str">
        <f t="shared" si="224"/>
        <v/>
      </c>
      <c r="AV118" s="51">
        <f t="shared" si="225"/>
        <v>0.11617391731595439</v>
      </c>
      <c r="AW118" s="51">
        <f t="shared" si="226"/>
        <v>0.13399860115971651</v>
      </c>
      <c r="AX118" s="51" t="str">
        <f t="shared" si="227"/>
        <v/>
      </c>
      <c r="AY118" s="51">
        <f t="shared" si="228"/>
        <v>8.4291397351089037E-2</v>
      </c>
      <c r="AZ118" s="51" t="str">
        <f t="shared" si="229"/>
        <v/>
      </c>
      <c r="BA118" s="51" t="str">
        <f t="shared" si="230"/>
        <v/>
      </c>
      <c r="BB118" s="51">
        <f t="shared" si="231"/>
        <v>0.10315742504438519</v>
      </c>
      <c r="BC118" s="51" t="str">
        <f t="shared" si="232"/>
        <v/>
      </c>
      <c r="BD118" s="51" t="str">
        <f t="shared" si="233"/>
        <v/>
      </c>
      <c r="BE118" s="51">
        <f t="shared" si="234"/>
        <v>0.10200318558972121</v>
      </c>
      <c r="BF118" s="51" t="str">
        <f t="shared" si="235"/>
        <v/>
      </c>
      <c r="BG118" s="51" t="str">
        <f t="shared" si="236"/>
        <v/>
      </c>
      <c r="BH118" s="51">
        <f t="shared" si="237"/>
        <v>3.1487376348253937E-2</v>
      </c>
      <c r="BI118" s="51" t="str">
        <f t="shared" si="238"/>
        <v/>
      </c>
      <c r="BJ118" s="51">
        <f t="shared" si="239"/>
        <v>3.1788388240149512E-2</v>
      </c>
      <c r="BK118" s="51">
        <f t="shared" si="240"/>
        <v>4.8161734776260179E-2</v>
      </c>
      <c r="BL118" s="51" t="str">
        <f t="shared" si="241"/>
        <v/>
      </c>
      <c r="BM118" s="51">
        <f t="shared" si="242"/>
        <v>-1.0590084221994034E-2</v>
      </c>
      <c r="BN118" s="51">
        <f t="shared" si="243"/>
        <v>-3.0036508088198133E-3</v>
      </c>
      <c r="BO118" s="51" t="str">
        <f t="shared" si="244"/>
        <v/>
      </c>
      <c r="BP118" s="51">
        <f t="shared" si="245"/>
        <v>-1.5374677289219818E-2</v>
      </c>
      <c r="BQ118" s="51">
        <f t="shared" si="246"/>
        <v>-6.8419707804832086E-3</v>
      </c>
      <c r="BR118" s="51" t="str">
        <f t="shared" si="247"/>
        <v/>
      </c>
      <c r="BS118" s="51">
        <f t="shared" si="248"/>
        <v>4.2013754011132054E-3</v>
      </c>
      <c r="BT118" s="51">
        <f t="shared" si="249"/>
        <v>-8.6343420425394335E-4</v>
      </c>
      <c r="BU118" s="51" t="str">
        <f t="shared" si="250"/>
        <v/>
      </c>
      <c r="BV118" s="51">
        <f t="shared" si="251"/>
        <v>-2.527977599931952E-2</v>
      </c>
      <c r="BW118" s="51">
        <f t="shared" si="252"/>
        <v>-3.8829163492588914E-2</v>
      </c>
      <c r="BX118" s="51">
        <f t="shared" si="253"/>
        <v>1.0605143261804617E-2</v>
      </c>
      <c r="BY118" s="51">
        <f t="shared" si="254"/>
        <v>2.2947618826679728E-2</v>
      </c>
      <c r="BZ118" s="51">
        <f t="shared" si="255"/>
        <v>1.719438557608588E-2</v>
      </c>
      <c r="CA118" s="51">
        <f t="shared" si="256"/>
        <v>3.6574571771659903E-2</v>
      </c>
      <c r="CB118" s="51">
        <f t="shared" si="257"/>
        <v>5.0647083297077566E-2</v>
      </c>
      <c r="CC118" s="51">
        <f t="shared" si="258"/>
        <v>5.8800191206761943E-2</v>
      </c>
      <c r="CD118" s="51">
        <f t="shared" si="259"/>
        <v>6.9795667040782439E-2</v>
      </c>
      <c r="CE118" s="51">
        <f t="shared" si="260"/>
        <v>9.0073972744252995E-2</v>
      </c>
      <c r="CF118" s="51">
        <f t="shared" si="261"/>
        <v>9.3548336946646327E-2</v>
      </c>
      <c r="CG118" s="51">
        <f t="shared" si="262"/>
        <v>0.10521734150213691</v>
      </c>
      <c r="CH118" s="51">
        <f t="shared" si="263"/>
        <v>0.11762310237960483</v>
      </c>
      <c r="CI118" s="51">
        <f t="shared" si="264"/>
        <v>0.11339048772632943</v>
      </c>
      <c r="CJ118" s="51">
        <f t="shared" si="265"/>
        <v>7.7588930345881213E-2</v>
      </c>
      <c r="CK118" s="51">
        <f t="shared" si="266"/>
        <v>8.6113059923121904E-2</v>
      </c>
      <c r="CL118" s="51">
        <f t="shared" si="267"/>
        <v>8.8035026940898486E-2</v>
      </c>
      <c r="CM118" s="51">
        <f t="shared" si="268"/>
        <v>7.3717499021912269E-2</v>
      </c>
      <c r="CN118" s="51">
        <f t="shared" si="269"/>
        <v>5.7638684240925331E-2</v>
      </c>
      <c r="CO118" s="51">
        <f t="shared" si="270"/>
        <v>3.9061491781817725E-2</v>
      </c>
      <c r="CP118" s="51">
        <f t="shared" si="271"/>
        <v>6.686225205113483E-2</v>
      </c>
      <c r="CQ118" s="51">
        <f t="shared" si="272"/>
        <v>7.4146262972003552E-2</v>
      </c>
      <c r="CR118" s="51">
        <f t="shared" si="273"/>
        <v>0.10984786240154421</v>
      </c>
      <c r="CS118" s="51">
        <f t="shared" si="274"/>
        <v>0.11681126710965306</v>
      </c>
      <c r="CT118" s="51">
        <f t="shared" si="275"/>
        <v>0.12220492887624368</v>
      </c>
      <c r="CU118" s="51">
        <f t="shared" si="276"/>
        <v>0.1127916479598996</v>
      </c>
      <c r="CV118" s="51">
        <f t="shared" si="277"/>
        <v>0.12960779384876076</v>
      </c>
      <c r="CW118" s="51">
        <f t="shared" si="278"/>
        <v>0.10232786657790927</v>
      </c>
      <c r="CX118" s="51">
        <f t="shared" si="279"/>
        <v>6.2636046704896531E-2</v>
      </c>
      <c r="CY118" s="51">
        <f t="shared" si="280"/>
        <v>4.8620643318638468E-2</v>
      </c>
      <c r="CZ118" s="51">
        <f t="shared" si="281"/>
        <v>1.8436054331160356E-2</v>
      </c>
      <c r="DA118" s="51">
        <f t="shared" si="282"/>
        <v>4.0268112042649573E-3</v>
      </c>
      <c r="DB118" s="51">
        <f t="shared" si="283"/>
        <v>-7.941809187709592E-3</v>
      </c>
      <c r="DC118" s="51">
        <f t="shared" si="284"/>
        <v>-4.1429673138086653E-2</v>
      </c>
      <c r="DD118" s="51">
        <f t="shared" si="285"/>
        <v>-5.4886626593168453E-2</v>
      </c>
      <c r="DE118" s="51">
        <f t="shared" si="286"/>
        <v>-3.8312355842308743E-2</v>
      </c>
      <c r="DF118" s="51">
        <f t="shared" si="287"/>
        <v>-3.7453026450702032E-2</v>
      </c>
      <c r="DG118" s="51">
        <f t="shared" si="288"/>
        <v>-5.0626534851986871E-2</v>
      </c>
      <c r="DH118" s="51">
        <f t="shared" si="289"/>
        <v>-4.8115017424446016E-2</v>
      </c>
      <c r="DI118" s="51">
        <f t="shared" si="290"/>
        <v>-3.0870940956810089E-2</v>
      </c>
      <c r="DJ118" s="51">
        <f t="shared" si="291"/>
        <v>1.5636309116231484E-3</v>
      </c>
      <c r="DK118" s="51">
        <f t="shared" si="292"/>
        <v>3.309887289406177E-2</v>
      </c>
      <c r="DL118" s="51">
        <f t="shared" si="293"/>
        <v>8.1357079306720648E-2</v>
      </c>
      <c r="DM118" s="51">
        <f t="shared" si="294"/>
        <v>9.1560871518173048E-2</v>
      </c>
      <c r="DN118" s="51">
        <f t="shared" si="295"/>
        <v>8.694659245197478E-2</v>
      </c>
      <c r="DO118" s="51">
        <f t="shared" si="296"/>
        <v>5.6191581731501294E-2</v>
      </c>
      <c r="DP118" s="51" t="str">
        <f t="shared" si="297"/>
        <v/>
      </c>
      <c r="DQ118" s="51" t="str">
        <f t="shared" si="298"/>
        <v/>
      </c>
      <c r="DR118" s="51" t="str">
        <f t="shared" si="299"/>
        <v/>
      </c>
      <c r="DS118" s="51" t="str">
        <f t="shared" si="300"/>
        <v/>
      </c>
      <c r="DT118" s="51" t="str">
        <f t="shared" si="301"/>
        <v/>
      </c>
      <c r="DU118" s="51" t="str">
        <f t="shared" si="302"/>
        <v/>
      </c>
      <c r="DV118" s="51" t="str">
        <f t="shared" si="303"/>
        <v/>
      </c>
      <c r="DW118" s="51" t="str">
        <f t="shared" si="304"/>
        <v/>
      </c>
      <c r="DX118" s="51" t="str">
        <f t="shared" si="305"/>
        <v/>
      </c>
      <c r="DY118" s="51" t="str">
        <f t="shared" si="306"/>
        <v/>
      </c>
      <c r="DZ118" s="51" t="str">
        <f t="shared" si="307"/>
        <v/>
      </c>
      <c r="EA118" s="51" t="str">
        <f t="shared" si="308"/>
        <v/>
      </c>
      <c r="EB118" s="51" t="str">
        <f t="shared" si="309"/>
        <v/>
      </c>
      <c r="EC118" s="51" t="str">
        <f t="shared" si="310"/>
        <v/>
      </c>
      <c r="ED118" s="51" t="str">
        <f t="shared" si="311"/>
        <v/>
      </c>
      <c r="EE118" s="51" t="str">
        <f t="shared" si="312"/>
        <v/>
      </c>
      <c r="EF118" s="51" t="str">
        <f t="shared" si="313"/>
        <v/>
      </c>
      <c r="EG118" s="51" t="str">
        <f t="shared" si="314"/>
        <v/>
      </c>
      <c r="EH118" s="51" t="str">
        <f t="shared" si="315"/>
        <v/>
      </c>
      <c r="EI118" s="51" t="str">
        <f t="shared" si="316"/>
        <v/>
      </c>
      <c r="EJ118" s="51" t="str">
        <f t="shared" si="317"/>
        <v/>
      </c>
      <c r="EK118" s="51" t="str">
        <f t="shared" si="318"/>
        <v/>
      </c>
      <c r="EL118" s="51" t="str">
        <f t="shared" si="319"/>
        <v/>
      </c>
    </row>
    <row r="119" spans="2:142" x14ac:dyDescent="0.25">
      <c r="B119" s="34">
        <f t="shared" si="320"/>
        <v>28</v>
      </c>
      <c r="C119" s="35" t="str">
        <f t="shared" si="320"/>
        <v>MANTEQUILLA</v>
      </c>
      <c r="D119" s="36">
        <f t="shared" si="320"/>
        <v>1.2313999999999999E-3</v>
      </c>
      <c r="E119" s="36">
        <f t="shared" si="320"/>
        <v>9.9913993151907569E-3</v>
      </c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 t="str">
        <f t="shared" si="196"/>
        <v/>
      </c>
      <c r="T119" s="51" t="str">
        <f t="shared" si="197"/>
        <v/>
      </c>
      <c r="U119" s="51" t="str">
        <f t="shared" si="198"/>
        <v/>
      </c>
      <c r="V119" s="51" t="str">
        <f t="shared" si="199"/>
        <v/>
      </c>
      <c r="W119" s="51" t="str">
        <f t="shared" si="200"/>
        <v/>
      </c>
      <c r="X119" s="51" t="str">
        <f t="shared" si="201"/>
        <v/>
      </c>
      <c r="Y119" s="51" t="str">
        <f t="shared" si="202"/>
        <v/>
      </c>
      <c r="Z119" s="51" t="str">
        <f t="shared" si="203"/>
        <v/>
      </c>
      <c r="AA119" s="51" t="str">
        <f t="shared" si="204"/>
        <v/>
      </c>
      <c r="AB119" s="51" t="str">
        <f t="shared" si="205"/>
        <v/>
      </c>
      <c r="AC119" s="51" t="str">
        <f t="shared" si="206"/>
        <v/>
      </c>
      <c r="AD119" s="51" t="str">
        <f t="shared" si="207"/>
        <v/>
      </c>
      <c r="AE119" s="51" t="str">
        <f t="shared" si="208"/>
        <v/>
      </c>
      <c r="AF119" s="51" t="str">
        <f t="shared" si="209"/>
        <v/>
      </c>
      <c r="AG119" s="51" t="str">
        <f t="shared" si="210"/>
        <v/>
      </c>
      <c r="AH119" s="51" t="str">
        <f t="shared" si="211"/>
        <v/>
      </c>
      <c r="AI119" s="51" t="str">
        <f t="shared" si="212"/>
        <v/>
      </c>
      <c r="AJ119" s="51" t="str">
        <f t="shared" si="213"/>
        <v/>
      </c>
      <c r="AK119" s="51" t="str">
        <f t="shared" si="214"/>
        <v/>
      </c>
      <c r="AL119" s="51" t="str">
        <f t="shared" si="215"/>
        <v/>
      </c>
      <c r="AM119" s="51" t="str">
        <f t="shared" si="216"/>
        <v/>
      </c>
      <c r="AN119" s="51" t="str">
        <f t="shared" si="217"/>
        <v/>
      </c>
      <c r="AO119" s="51" t="str">
        <f t="shared" si="218"/>
        <v/>
      </c>
      <c r="AP119" s="51" t="str">
        <f t="shared" si="219"/>
        <v/>
      </c>
      <c r="AQ119" s="51" t="str">
        <f t="shared" si="220"/>
        <v/>
      </c>
      <c r="AR119" s="51" t="str">
        <f t="shared" si="221"/>
        <v/>
      </c>
      <c r="AS119" s="51" t="str">
        <f t="shared" si="222"/>
        <v/>
      </c>
      <c r="AT119" s="51" t="str">
        <f t="shared" si="223"/>
        <v/>
      </c>
      <c r="AU119" s="51" t="str">
        <f t="shared" si="224"/>
        <v/>
      </c>
      <c r="AV119" s="51" t="str">
        <f t="shared" si="225"/>
        <v/>
      </c>
      <c r="AW119" s="51" t="str">
        <f t="shared" si="226"/>
        <v/>
      </c>
      <c r="AX119" s="51" t="str">
        <f t="shared" si="227"/>
        <v/>
      </c>
      <c r="AY119" s="51" t="str">
        <f t="shared" si="228"/>
        <v/>
      </c>
      <c r="AZ119" s="51" t="str">
        <f t="shared" si="229"/>
        <v/>
      </c>
      <c r="BA119" s="51" t="str">
        <f t="shared" si="230"/>
        <v/>
      </c>
      <c r="BB119" s="51" t="str">
        <f t="shared" si="231"/>
        <v/>
      </c>
      <c r="BC119" s="51" t="str">
        <f t="shared" si="232"/>
        <v/>
      </c>
      <c r="BD119" s="51" t="str">
        <f t="shared" si="233"/>
        <v/>
      </c>
      <c r="BE119" s="51" t="str">
        <f t="shared" si="234"/>
        <v/>
      </c>
      <c r="BF119" s="51" t="str">
        <f t="shared" si="235"/>
        <v/>
      </c>
      <c r="BG119" s="51" t="str">
        <f t="shared" si="236"/>
        <v/>
      </c>
      <c r="BH119" s="51" t="str">
        <f t="shared" si="237"/>
        <v/>
      </c>
      <c r="BI119" s="51" t="str">
        <f t="shared" si="238"/>
        <v/>
      </c>
      <c r="BJ119" s="51" t="str">
        <f t="shared" si="239"/>
        <v/>
      </c>
      <c r="BK119" s="51" t="str">
        <f t="shared" si="240"/>
        <v/>
      </c>
      <c r="BL119" s="51" t="str">
        <f t="shared" si="241"/>
        <v/>
      </c>
      <c r="BM119" s="51" t="str">
        <f t="shared" si="242"/>
        <v/>
      </c>
      <c r="BN119" s="51" t="str">
        <f t="shared" si="243"/>
        <v/>
      </c>
      <c r="BO119" s="51" t="str">
        <f t="shared" si="244"/>
        <v/>
      </c>
      <c r="BP119" s="51" t="str">
        <f t="shared" si="245"/>
        <v/>
      </c>
      <c r="BQ119" s="51" t="str">
        <f t="shared" si="246"/>
        <v/>
      </c>
      <c r="BR119" s="51" t="str">
        <f t="shared" si="247"/>
        <v/>
      </c>
      <c r="BS119" s="51" t="str">
        <f t="shared" si="248"/>
        <v/>
      </c>
      <c r="BT119" s="51" t="str">
        <f t="shared" si="249"/>
        <v/>
      </c>
      <c r="BU119" s="51" t="str">
        <f t="shared" si="250"/>
        <v/>
      </c>
      <c r="BV119" s="51" t="str">
        <f t="shared" si="251"/>
        <v/>
      </c>
      <c r="BW119" s="51" t="str">
        <f t="shared" si="252"/>
        <v/>
      </c>
      <c r="BX119" s="51" t="str">
        <f t="shared" si="253"/>
        <v/>
      </c>
      <c r="BY119" s="51" t="str">
        <f t="shared" si="254"/>
        <v/>
      </c>
      <c r="BZ119" s="51" t="str">
        <f t="shared" si="255"/>
        <v/>
      </c>
      <c r="CA119" s="51">
        <f t="shared" si="256"/>
        <v>0.12268589381168882</v>
      </c>
      <c r="CB119" s="51">
        <f t="shared" si="257"/>
        <v>9.9601669463535325E-2</v>
      </c>
      <c r="CC119" s="51">
        <f t="shared" si="258"/>
        <v>0.11194807514550664</v>
      </c>
      <c r="CD119" s="51">
        <f t="shared" si="259"/>
        <v>0.11137796201485095</v>
      </c>
      <c r="CE119" s="51">
        <f t="shared" si="260"/>
        <v>0.14890465070184034</v>
      </c>
      <c r="CF119" s="51">
        <f t="shared" si="261"/>
        <v>0.14973058351757573</v>
      </c>
      <c r="CG119" s="51">
        <f t="shared" si="262"/>
        <v>0.14891027153590275</v>
      </c>
      <c r="CH119" s="51">
        <f t="shared" si="263"/>
        <v>0.14603605404646247</v>
      </c>
      <c r="CI119" s="51">
        <f t="shared" si="264"/>
        <v>0.1570249641833148</v>
      </c>
      <c r="CJ119" s="51">
        <f t="shared" si="265"/>
        <v>0.14991910775883732</v>
      </c>
      <c r="CK119" s="51">
        <f t="shared" si="266"/>
        <v>0.11315980142125981</v>
      </c>
      <c r="CL119" s="51">
        <f t="shared" si="267"/>
        <v>0.10360631095279871</v>
      </c>
      <c r="CM119" s="51">
        <f t="shared" si="268"/>
        <v>8.7357343201260429E-2</v>
      </c>
      <c r="CN119" s="51">
        <f t="shared" si="269"/>
        <v>9.4976414161519029E-2</v>
      </c>
      <c r="CO119" s="51">
        <f t="shared" si="270"/>
        <v>9.4364193250651596E-2</v>
      </c>
      <c r="CP119" s="51">
        <f t="shared" si="271"/>
        <v>9.4665053517162034E-2</v>
      </c>
      <c r="CQ119" s="51">
        <f t="shared" si="272"/>
        <v>8.6401079048046725E-2</v>
      </c>
      <c r="CR119" s="51">
        <f t="shared" si="273"/>
        <v>9.9763156592390434E-2</v>
      </c>
      <c r="CS119" s="51">
        <f t="shared" si="274"/>
        <v>0.11040129144487598</v>
      </c>
      <c r="CT119" s="51">
        <f t="shared" si="275"/>
        <v>0.1165319940431</v>
      </c>
      <c r="CU119" s="51">
        <f t="shared" si="276"/>
        <v>9.9713096340399821E-2</v>
      </c>
      <c r="CV119" s="51">
        <f t="shared" si="277"/>
        <v>9.3612091607445658E-2</v>
      </c>
      <c r="CW119" s="51">
        <f t="shared" si="278"/>
        <v>7.1933133050122944E-2</v>
      </c>
      <c r="CX119" s="51">
        <f t="shared" si="279"/>
        <v>6.2910863892726043E-2</v>
      </c>
      <c r="CY119" s="51">
        <f t="shared" si="280"/>
        <v>5.4371900803767081E-2</v>
      </c>
      <c r="CZ119" s="51">
        <f t="shared" si="281"/>
        <v>3.7554868469724889E-2</v>
      </c>
      <c r="DA119" s="51">
        <f t="shared" si="282"/>
        <v>1.6166367590084274E-2</v>
      </c>
      <c r="DB119" s="51">
        <f t="shared" si="283"/>
        <v>3.5011495510016921E-2</v>
      </c>
      <c r="DC119" s="51">
        <f t="shared" si="284"/>
        <v>8.1384920644465009E-3</v>
      </c>
      <c r="DD119" s="51">
        <f t="shared" si="285"/>
        <v>3.2896321531874495E-3</v>
      </c>
      <c r="DE119" s="51">
        <f t="shared" si="286"/>
        <v>-4.1555196438072262E-3</v>
      </c>
      <c r="DF119" s="51">
        <f t="shared" si="287"/>
        <v>-1.3038570243235181E-2</v>
      </c>
      <c r="DG119" s="51">
        <f t="shared" si="288"/>
        <v>-5.7201814230587456E-3</v>
      </c>
      <c r="DH119" s="51">
        <f t="shared" si="289"/>
        <v>1.7886358861553209E-2</v>
      </c>
      <c r="DI119" s="51">
        <f t="shared" si="290"/>
        <v>3.1313532765256724E-2</v>
      </c>
      <c r="DJ119" s="51">
        <f t="shared" si="291"/>
        <v>4.6447333974298566E-2</v>
      </c>
      <c r="DK119" s="51">
        <f t="shared" si="292"/>
        <v>5.6942413563892735E-2</v>
      </c>
      <c r="DL119" s="51">
        <f t="shared" si="293"/>
        <v>7.4997905782379748E-2</v>
      </c>
      <c r="DM119" s="51">
        <f t="shared" si="294"/>
        <v>0.10208640298051641</v>
      </c>
      <c r="DN119" s="51">
        <f t="shared" si="295"/>
        <v>0.1030807222198511</v>
      </c>
      <c r="DO119" s="51">
        <f t="shared" si="296"/>
        <v>0.10965246847102761</v>
      </c>
      <c r="DP119" s="51" t="str">
        <f t="shared" si="297"/>
        <v/>
      </c>
      <c r="DQ119" s="51" t="str">
        <f t="shared" si="298"/>
        <v/>
      </c>
      <c r="DR119" s="51" t="str">
        <f t="shared" si="299"/>
        <v/>
      </c>
      <c r="DS119" s="51" t="str">
        <f t="shared" si="300"/>
        <v/>
      </c>
      <c r="DT119" s="51" t="str">
        <f t="shared" si="301"/>
        <v/>
      </c>
      <c r="DU119" s="51" t="str">
        <f t="shared" si="302"/>
        <v/>
      </c>
      <c r="DV119" s="51" t="str">
        <f t="shared" si="303"/>
        <v/>
      </c>
      <c r="DW119" s="51" t="str">
        <f t="shared" si="304"/>
        <v/>
      </c>
      <c r="DX119" s="51" t="str">
        <f t="shared" si="305"/>
        <v/>
      </c>
      <c r="DY119" s="51" t="str">
        <f t="shared" si="306"/>
        <v/>
      </c>
      <c r="DZ119" s="51" t="str">
        <f t="shared" si="307"/>
        <v/>
      </c>
      <c r="EA119" s="51" t="str">
        <f t="shared" si="308"/>
        <v/>
      </c>
      <c r="EB119" s="51" t="str">
        <f t="shared" si="309"/>
        <v/>
      </c>
      <c r="EC119" s="51" t="str">
        <f t="shared" si="310"/>
        <v/>
      </c>
      <c r="ED119" s="51" t="str">
        <f t="shared" si="311"/>
        <v/>
      </c>
      <c r="EE119" s="51" t="str">
        <f t="shared" si="312"/>
        <v/>
      </c>
      <c r="EF119" s="51" t="str">
        <f t="shared" si="313"/>
        <v/>
      </c>
      <c r="EG119" s="51" t="str">
        <f t="shared" si="314"/>
        <v/>
      </c>
      <c r="EH119" s="51" t="str">
        <f t="shared" si="315"/>
        <v/>
      </c>
      <c r="EI119" s="51" t="str">
        <f t="shared" si="316"/>
        <v/>
      </c>
      <c r="EJ119" s="51" t="str">
        <f t="shared" si="317"/>
        <v/>
      </c>
      <c r="EK119" s="51" t="str">
        <f t="shared" si="318"/>
        <v/>
      </c>
      <c r="EL119" s="51" t="str">
        <f t="shared" si="319"/>
        <v/>
      </c>
    </row>
    <row r="120" spans="2:142" x14ac:dyDescent="0.25">
      <c r="B120" s="34">
        <f t="shared" si="320"/>
        <v>29</v>
      </c>
      <c r="C120" s="35" t="str">
        <f t="shared" si="320"/>
        <v>MARGARINA</v>
      </c>
      <c r="D120" s="36">
        <f t="shared" si="320"/>
        <v>1.1858999999999999E-3</v>
      </c>
      <c r="E120" s="36">
        <f t="shared" si="320"/>
        <v>9.6222189766807849E-3</v>
      </c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 t="str">
        <f t="shared" si="196"/>
        <v/>
      </c>
      <c r="T120" s="51" t="str">
        <f t="shared" si="197"/>
        <v/>
      </c>
      <c r="U120" s="51" t="str">
        <f t="shared" si="198"/>
        <v/>
      </c>
      <c r="V120" s="51" t="str">
        <f t="shared" si="199"/>
        <v/>
      </c>
      <c r="W120" s="51" t="str">
        <f t="shared" si="200"/>
        <v/>
      </c>
      <c r="X120" s="51" t="str">
        <f t="shared" si="201"/>
        <v/>
      </c>
      <c r="Y120" s="51" t="str">
        <f t="shared" si="202"/>
        <v/>
      </c>
      <c r="Z120" s="51" t="str">
        <f t="shared" si="203"/>
        <v/>
      </c>
      <c r="AA120" s="51" t="str">
        <f t="shared" si="204"/>
        <v/>
      </c>
      <c r="AB120" s="51" t="str">
        <f t="shared" si="205"/>
        <v/>
      </c>
      <c r="AC120" s="51" t="str">
        <f t="shared" si="206"/>
        <v/>
      </c>
      <c r="AD120" s="51" t="str">
        <f t="shared" si="207"/>
        <v/>
      </c>
      <c r="AE120" s="51" t="str">
        <f t="shared" si="208"/>
        <v/>
      </c>
      <c r="AF120" s="51" t="str">
        <f t="shared" si="209"/>
        <v/>
      </c>
      <c r="AG120" s="51" t="str">
        <f t="shared" si="210"/>
        <v/>
      </c>
      <c r="AH120" s="51" t="str">
        <f t="shared" si="211"/>
        <v/>
      </c>
      <c r="AI120" s="51" t="str">
        <f t="shared" si="212"/>
        <v/>
      </c>
      <c r="AJ120" s="51" t="str">
        <f t="shared" si="213"/>
        <v/>
      </c>
      <c r="AK120" s="51" t="str">
        <f t="shared" si="214"/>
        <v/>
      </c>
      <c r="AL120" s="51" t="str">
        <f t="shared" si="215"/>
        <v/>
      </c>
      <c r="AM120" s="51" t="str">
        <f t="shared" si="216"/>
        <v/>
      </c>
      <c r="AN120" s="51" t="str">
        <f t="shared" si="217"/>
        <v/>
      </c>
      <c r="AO120" s="51" t="str">
        <f t="shared" si="218"/>
        <v/>
      </c>
      <c r="AP120" s="51" t="str">
        <f t="shared" si="219"/>
        <v/>
      </c>
      <c r="AQ120" s="51" t="str">
        <f t="shared" si="220"/>
        <v/>
      </c>
      <c r="AR120" s="51" t="str">
        <f t="shared" si="221"/>
        <v/>
      </c>
      <c r="AS120" s="51" t="str">
        <f t="shared" si="222"/>
        <v/>
      </c>
      <c r="AT120" s="51" t="str">
        <f t="shared" si="223"/>
        <v/>
      </c>
      <c r="AU120" s="51" t="str">
        <f t="shared" si="224"/>
        <v/>
      </c>
      <c r="AV120" s="51" t="str">
        <f t="shared" si="225"/>
        <v/>
      </c>
      <c r="AW120" s="51" t="str">
        <f t="shared" si="226"/>
        <v/>
      </c>
      <c r="AX120" s="51" t="str">
        <f t="shared" si="227"/>
        <v/>
      </c>
      <c r="AY120" s="51" t="str">
        <f t="shared" si="228"/>
        <v/>
      </c>
      <c r="AZ120" s="51" t="str">
        <f t="shared" si="229"/>
        <v/>
      </c>
      <c r="BA120" s="51" t="str">
        <f t="shared" si="230"/>
        <v/>
      </c>
      <c r="BB120" s="51" t="str">
        <f t="shared" si="231"/>
        <v/>
      </c>
      <c r="BC120" s="51" t="str">
        <f t="shared" si="232"/>
        <v/>
      </c>
      <c r="BD120" s="51" t="str">
        <f t="shared" si="233"/>
        <v/>
      </c>
      <c r="BE120" s="51" t="str">
        <f t="shared" si="234"/>
        <v/>
      </c>
      <c r="BF120" s="51" t="str">
        <f t="shared" si="235"/>
        <v/>
      </c>
      <c r="BG120" s="51" t="str">
        <f t="shared" si="236"/>
        <v/>
      </c>
      <c r="BH120" s="51" t="str">
        <f t="shared" si="237"/>
        <v/>
      </c>
      <c r="BI120" s="51" t="str">
        <f t="shared" si="238"/>
        <v/>
      </c>
      <c r="BJ120" s="51" t="str">
        <f t="shared" si="239"/>
        <v/>
      </c>
      <c r="BK120" s="51" t="str">
        <f t="shared" si="240"/>
        <v/>
      </c>
      <c r="BL120" s="51" t="str">
        <f t="shared" si="241"/>
        <v/>
      </c>
      <c r="BM120" s="51" t="str">
        <f t="shared" si="242"/>
        <v/>
      </c>
      <c r="BN120" s="51" t="str">
        <f t="shared" si="243"/>
        <v/>
      </c>
      <c r="BO120" s="51" t="str">
        <f t="shared" si="244"/>
        <v/>
      </c>
      <c r="BP120" s="51" t="str">
        <f t="shared" si="245"/>
        <v/>
      </c>
      <c r="BQ120" s="51" t="str">
        <f t="shared" si="246"/>
        <v/>
      </c>
      <c r="BR120" s="51" t="str">
        <f t="shared" si="247"/>
        <v/>
      </c>
      <c r="BS120" s="51" t="str">
        <f t="shared" si="248"/>
        <v/>
      </c>
      <c r="BT120" s="51" t="str">
        <f t="shared" si="249"/>
        <v/>
      </c>
      <c r="BU120" s="51" t="str">
        <f t="shared" si="250"/>
        <v/>
      </c>
      <c r="BV120" s="51" t="str">
        <f t="shared" si="251"/>
        <v/>
      </c>
      <c r="BW120" s="51" t="str">
        <f t="shared" si="252"/>
        <v/>
      </c>
      <c r="BX120" s="51" t="str">
        <f t="shared" si="253"/>
        <v/>
      </c>
      <c r="BY120" s="51" t="str">
        <f t="shared" si="254"/>
        <v/>
      </c>
      <c r="BZ120" s="51" t="str">
        <f t="shared" si="255"/>
        <v/>
      </c>
      <c r="CA120" s="51">
        <f t="shared" si="256"/>
        <v>3.5068126744110861E-2</v>
      </c>
      <c r="CB120" s="51">
        <f t="shared" si="257"/>
        <v>-8.6130997360299721E-3</v>
      </c>
      <c r="CC120" s="51">
        <f t="shared" si="258"/>
        <v>2.4119507895703274E-2</v>
      </c>
      <c r="CD120" s="51">
        <f t="shared" si="259"/>
        <v>1.6817501539920565E-2</v>
      </c>
      <c r="CE120" s="51">
        <f t="shared" si="260"/>
        <v>3.8168344137294197E-2</v>
      </c>
      <c r="CF120" s="51">
        <f t="shared" si="261"/>
        <v>-1.0582604374996807E-3</v>
      </c>
      <c r="CG120" s="51">
        <f t="shared" si="262"/>
        <v>2.5386929250497126E-2</v>
      </c>
      <c r="CH120" s="51">
        <f t="shared" si="263"/>
        <v>1.5459862264271207E-2</v>
      </c>
      <c r="CI120" s="51">
        <f t="shared" si="264"/>
        <v>-3.708755333726943E-3</v>
      </c>
      <c r="CJ120" s="51">
        <f t="shared" si="265"/>
        <v>3.2832164546337417E-2</v>
      </c>
      <c r="CK120" s="51">
        <f t="shared" si="266"/>
        <v>1.2254185378451909E-2</v>
      </c>
      <c r="CL120" s="51">
        <f t="shared" si="267"/>
        <v>2.7131359053918391E-2</v>
      </c>
      <c r="CM120" s="51">
        <f t="shared" si="268"/>
        <v>3.4585312713168559E-2</v>
      </c>
      <c r="CN120" s="51">
        <f t="shared" si="269"/>
        <v>5.6329989785289136E-2</v>
      </c>
      <c r="CO120" s="51">
        <f t="shared" si="270"/>
        <v>4.0462305792165365E-2</v>
      </c>
      <c r="CP120" s="51">
        <f t="shared" si="271"/>
        <v>3.248797244824897E-2</v>
      </c>
      <c r="CQ120" s="51">
        <f t="shared" si="272"/>
        <v>2.2731566765503919E-2</v>
      </c>
      <c r="CR120" s="51">
        <f t="shared" si="273"/>
        <v>4.6799336454831364E-2</v>
      </c>
      <c r="CS120" s="51">
        <f t="shared" si="274"/>
        <v>4.4806343555192418E-2</v>
      </c>
      <c r="CT120" s="51">
        <f t="shared" si="275"/>
        <v>3.7507053772073862E-2</v>
      </c>
      <c r="CU120" s="51">
        <f t="shared" si="276"/>
        <v>4.8712347379152643E-2</v>
      </c>
      <c r="CV120" s="51">
        <f t="shared" si="277"/>
        <v>2.731888523835635E-2</v>
      </c>
      <c r="CW120" s="51">
        <f t="shared" si="278"/>
        <v>5.5650265732269721E-2</v>
      </c>
      <c r="CX120" s="51">
        <f t="shared" si="279"/>
        <v>2.4814655585613687E-2</v>
      </c>
      <c r="CY120" s="51">
        <f t="shared" si="280"/>
        <v>4.8714961893816966E-2</v>
      </c>
      <c r="CZ120" s="51">
        <f t="shared" si="281"/>
        <v>6.0876683473632287E-2</v>
      </c>
      <c r="DA120" s="51">
        <f t="shared" si="282"/>
        <v>7.0024966534286026E-2</v>
      </c>
      <c r="DB120" s="51">
        <f t="shared" si="283"/>
        <v>7.6112404945280154E-2</v>
      </c>
      <c r="DC120" s="51">
        <f t="shared" si="284"/>
        <v>5.7202233481787657E-2</v>
      </c>
      <c r="DD120" s="51">
        <f t="shared" si="285"/>
        <v>9.5881844008120609E-2</v>
      </c>
      <c r="DE120" s="51">
        <f t="shared" si="286"/>
        <v>8.3108488923337109E-2</v>
      </c>
      <c r="DF120" s="51">
        <f t="shared" si="287"/>
        <v>8.8357441141355686E-2</v>
      </c>
      <c r="DG120" s="51">
        <f t="shared" si="288"/>
        <v>8.0967141821264743E-2</v>
      </c>
      <c r="DH120" s="51">
        <f t="shared" si="289"/>
        <v>8.3251719392070767E-2</v>
      </c>
      <c r="DI120" s="51">
        <f t="shared" si="290"/>
        <v>9.1849849459072486E-2</v>
      </c>
      <c r="DJ120" s="51">
        <f t="shared" si="291"/>
        <v>3.6827692541020252E-2</v>
      </c>
      <c r="DK120" s="51">
        <f t="shared" si="292"/>
        <v>3.7143426074459418E-2</v>
      </c>
      <c r="DL120" s="51">
        <f t="shared" si="293"/>
        <v>5.5372444083092276E-2</v>
      </c>
      <c r="DM120" s="51">
        <f t="shared" si="294"/>
        <v>3.1369353876927963E-2</v>
      </c>
      <c r="DN120" s="51">
        <f t="shared" si="295"/>
        <v>2.841408296785608E-2</v>
      </c>
      <c r="DO120" s="51">
        <f t="shared" si="296"/>
        <v>9.8130800778997163E-3</v>
      </c>
      <c r="DP120" s="51" t="str">
        <f t="shared" si="297"/>
        <v/>
      </c>
      <c r="DQ120" s="51" t="str">
        <f t="shared" si="298"/>
        <v/>
      </c>
      <c r="DR120" s="51" t="str">
        <f t="shared" si="299"/>
        <v/>
      </c>
      <c r="DS120" s="51" t="str">
        <f t="shared" si="300"/>
        <v/>
      </c>
      <c r="DT120" s="51" t="str">
        <f t="shared" si="301"/>
        <v/>
      </c>
      <c r="DU120" s="51" t="str">
        <f t="shared" si="302"/>
        <v/>
      </c>
      <c r="DV120" s="51" t="str">
        <f t="shared" si="303"/>
        <v/>
      </c>
      <c r="DW120" s="51" t="str">
        <f t="shared" si="304"/>
        <v/>
      </c>
      <c r="DX120" s="51" t="str">
        <f t="shared" si="305"/>
        <v/>
      </c>
      <c r="DY120" s="51" t="str">
        <f t="shared" si="306"/>
        <v/>
      </c>
      <c r="DZ120" s="51" t="str">
        <f t="shared" si="307"/>
        <v/>
      </c>
      <c r="EA120" s="51" t="str">
        <f t="shared" si="308"/>
        <v/>
      </c>
      <c r="EB120" s="51" t="str">
        <f t="shared" si="309"/>
        <v/>
      </c>
      <c r="EC120" s="51" t="str">
        <f t="shared" si="310"/>
        <v/>
      </c>
      <c r="ED120" s="51" t="str">
        <f t="shared" si="311"/>
        <v/>
      </c>
      <c r="EE120" s="51" t="str">
        <f t="shared" si="312"/>
        <v/>
      </c>
      <c r="EF120" s="51" t="str">
        <f t="shared" si="313"/>
        <v/>
      </c>
      <c r="EG120" s="51" t="str">
        <f t="shared" si="314"/>
        <v/>
      </c>
      <c r="EH120" s="51" t="str">
        <f t="shared" si="315"/>
        <v/>
      </c>
      <c r="EI120" s="51" t="str">
        <f t="shared" si="316"/>
        <v/>
      </c>
      <c r="EJ120" s="51" t="str">
        <f t="shared" si="317"/>
        <v/>
      </c>
      <c r="EK120" s="51" t="str">
        <f t="shared" si="318"/>
        <v/>
      </c>
      <c r="EL120" s="51" t="str">
        <f t="shared" si="319"/>
        <v/>
      </c>
    </row>
    <row r="121" spans="2:142" x14ac:dyDescent="0.25">
      <c r="B121" s="38">
        <f t="shared" si="320"/>
        <v>30</v>
      </c>
      <c r="C121" s="39" t="str">
        <f t="shared" si="320"/>
        <v>QUESO</v>
      </c>
      <c r="D121" s="40">
        <f t="shared" si="320"/>
        <v>7.4586000000000001E-3</v>
      </c>
      <c r="E121" s="40">
        <f t="shared" si="320"/>
        <v>6.051798841341708E-2</v>
      </c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 t="str">
        <f t="shared" si="196"/>
        <v/>
      </c>
      <c r="T121" s="52" t="str">
        <f t="shared" si="197"/>
        <v/>
      </c>
      <c r="U121" s="52" t="str">
        <f t="shared" si="198"/>
        <v/>
      </c>
      <c r="V121" s="52" t="str">
        <f t="shared" si="199"/>
        <v/>
      </c>
      <c r="W121" s="52" t="str">
        <f t="shared" si="200"/>
        <v/>
      </c>
      <c r="X121" s="52" t="str">
        <f t="shared" si="201"/>
        <v/>
      </c>
      <c r="Y121" s="52" t="str">
        <f t="shared" si="202"/>
        <v/>
      </c>
      <c r="Z121" s="52" t="str">
        <f t="shared" si="203"/>
        <v/>
      </c>
      <c r="AA121" s="52" t="str">
        <f t="shared" si="204"/>
        <v/>
      </c>
      <c r="AB121" s="52" t="str">
        <f t="shared" si="205"/>
        <v/>
      </c>
      <c r="AC121" s="52" t="str">
        <f t="shared" si="206"/>
        <v/>
      </c>
      <c r="AD121" s="52" t="str">
        <f t="shared" si="207"/>
        <v/>
      </c>
      <c r="AE121" s="52" t="str">
        <f t="shared" si="208"/>
        <v/>
      </c>
      <c r="AF121" s="52" t="str">
        <f t="shared" si="209"/>
        <v/>
      </c>
      <c r="AG121" s="52" t="str">
        <f t="shared" si="210"/>
        <v/>
      </c>
      <c r="AH121" s="52" t="str">
        <f t="shared" si="211"/>
        <v/>
      </c>
      <c r="AI121" s="52" t="str">
        <f t="shared" si="212"/>
        <v/>
      </c>
      <c r="AJ121" s="52" t="str">
        <f t="shared" si="213"/>
        <v/>
      </c>
      <c r="AK121" s="52" t="str">
        <f t="shared" si="214"/>
        <v/>
      </c>
      <c r="AL121" s="52" t="str">
        <f t="shared" si="215"/>
        <v/>
      </c>
      <c r="AM121" s="52" t="str">
        <f t="shared" si="216"/>
        <v/>
      </c>
      <c r="AN121" s="52" t="str">
        <f t="shared" si="217"/>
        <v/>
      </c>
      <c r="AO121" s="52" t="str">
        <f t="shared" si="218"/>
        <v/>
      </c>
      <c r="AP121" s="52">
        <f t="shared" si="219"/>
        <v>5.4886770351901149E-2</v>
      </c>
      <c r="AQ121" s="52">
        <f t="shared" si="220"/>
        <v>6.0105797745383827E-2</v>
      </c>
      <c r="AR121" s="52" t="str">
        <f t="shared" si="221"/>
        <v/>
      </c>
      <c r="AS121" s="52">
        <f t="shared" si="222"/>
        <v>2.070173100973971E-2</v>
      </c>
      <c r="AT121" s="52">
        <f t="shared" si="223"/>
        <v>5.5847794582156496E-2</v>
      </c>
      <c r="AU121" s="52" t="str">
        <f t="shared" si="224"/>
        <v/>
      </c>
      <c r="AV121" s="52">
        <f t="shared" si="225"/>
        <v>7.6936805503249772E-2</v>
      </c>
      <c r="AW121" s="52">
        <f t="shared" si="226"/>
        <v>2.2151337328685017E-2</v>
      </c>
      <c r="AX121" s="52" t="str">
        <f t="shared" si="227"/>
        <v/>
      </c>
      <c r="AY121" s="52">
        <f t="shared" si="228"/>
        <v>1.470825371395712E-2</v>
      </c>
      <c r="AZ121" s="52" t="str">
        <f t="shared" si="229"/>
        <v/>
      </c>
      <c r="BA121" s="52" t="str">
        <f t="shared" si="230"/>
        <v/>
      </c>
      <c r="BB121" s="52">
        <f t="shared" si="231"/>
        <v>6.2978957237089794E-2</v>
      </c>
      <c r="BC121" s="52" t="str">
        <f t="shared" si="232"/>
        <v/>
      </c>
      <c r="BD121" s="52" t="str">
        <f t="shared" si="233"/>
        <v/>
      </c>
      <c r="BE121" s="52">
        <f t="shared" si="234"/>
        <v>0.11143999668982874</v>
      </c>
      <c r="BF121" s="52" t="str">
        <f t="shared" si="235"/>
        <v/>
      </c>
      <c r="BG121" s="52" t="str">
        <f t="shared" si="236"/>
        <v/>
      </c>
      <c r="BH121" s="52">
        <f t="shared" si="237"/>
        <v>4.815010641673112E-2</v>
      </c>
      <c r="BI121" s="52" t="str">
        <f t="shared" si="238"/>
        <v/>
      </c>
      <c r="BJ121" s="52">
        <f t="shared" si="239"/>
        <v>5.8679057563602477E-2</v>
      </c>
      <c r="BK121" s="52">
        <f t="shared" si="240"/>
        <v>6.7470851519830344E-2</v>
      </c>
      <c r="BL121" s="52" t="str">
        <f t="shared" si="241"/>
        <v/>
      </c>
      <c r="BM121" s="52">
        <f t="shared" si="242"/>
        <v>7.4843723427037823E-2</v>
      </c>
      <c r="BN121" s="52">
        <f t="shared" si="243"/>
        <v>9.6228699346000202E-2</v>
      </c>
      <c r="BO121" s="52" t="str">
        <f t="shared" si="244"/>
        <v/>
      </c>
      <c r="BP121" s="52">
        <f t="shared" si="245"/>
        <v>7.6399003974647606E-3</v>
      </c>
      <c r="BQ121" s="52">
        <f t="shared" si="246"/>
        <v>3.3168223798512253E-2</v>
      </c>
      <c r="BR121" s="52" t="str">
        <f t="shared" si="247"/>
        <v/>
      </c>
      <c r="BS121" s="52">
        <f t="shared" si="248"/>
        <v>3.2541215223462538E-2</v>
      </c>
      <c r="BT121" s="52">
        <f t="shared" si="249"/>
        <v>7.515647130195835E-2</v>
      </c>
      <c r="BU121" s="52" t="str">
        <f t="shared" si="250"/>
        <v/>
      </c>
      <c r="BV121" s="52">
        <f t="shared" si="251"/>
        <v>9.1265599322859936E-2</v>
      </c>
      <c r="BW121" s="52">
        <f t="shared" si="252"/>
        <v>0.12499123981324045</v>
      </c>
      <c r="BX121" s="52">
        <f t="shared" si="253"/>
        <v>0.15129600163934898</v>
      </c>
      <c r="BY121" s="52">
        <f t="shared" si="254"/>
        <v>8.9015689138747245E-2</v>
      </c>
      <c r="BZ121" s="52">
        <f t="shared" si="255"/>
        <v>8.0852955836494322E-2</v>
      </c>
      <c r="CA121" s="52">
        <f t="shared" si="256"/>
        <v>0.17850891181087136</v>
      </c>
      <c r="CB121" s="52">
        <f t="shared" si="257"/>
        <v>0.23271898113819556</v>
      </c>
      <c r="CC121" s="52">
        <f t="shared" si="258"/>
        <v>0.21022302452782604</v>
      </c>
      <c r="CD121" s="52">
        <f t="shared" si="259"/>
        <v>0.21831863813021446</v>
      </c>
      <c r="CE121" s="52">
        <f t="shared" si="260"/>
        <v>0.18204628054597793</v>
      </c>
      <c r="CF121" s="52">
        <f t="shared" si="261"/>
        <v>0.11734008025762543</v>
      </c>
      <c r="CG121" s="52">
        <f t="shared" si="262"/>
        <v>9.4056535858411339E-2</v>
      </c>
      <c r="CH121" s="52">
        <f t="shared" si="263"/>
        <v>8.2328417384143204E-2</v>
      </c>
      <c r="CI121" s="52">
        <f t="shared" si="264"/>
        <v>7.5610845461701492E-2</v>
      </c>
      <c r="CJ121" s="52">
        <f t="shared" si="265"/>
        <v>7.4294113260143346E-2</v>
      </c>
      <c r="CK121" s="52">
        <f t="shared" si="266"/>
        <v>7.2590319277599846E-2</v>
      </c>
      <c r="CL121" s="52">
        <f t="shared" si="267"/>
        <v>6.4084638116315817E-2</v>
      </c>
      <c r="CM121" s="52">
        <f t="shared" si="268"/>
        <v>4.0817116584310087E-2</v>
      </c>
      <c r="CN121" s="52">
        <f t="shared" si="269"/>
        <v>2.1560267627173779E-2</v>
      </c>
      <c r="CO121" s="52">
        <f t="shared" si="270"/>
        <v>8.1579051981683914E-3</v>
      </c>
      <c r="CP121" s="52">
        <f t="shared" si="271"/>
        <v>1.60556318376055E-2</v>
      </c>
      <c r="CQ121" s="52">
        <f t="shared" si="272"/>
        <v>4.7656411245036168E-3</v>
      </c>
      <c r="CR121" s="52">
        <f t="shared" si="273"/>
        <v>4.9146218566029187E-2</v>
      </c>
      <c r="CS121" s="52">
        <f t="shared" si="274"/>
        <v>5.409782070461655E-2</v>
      </c>
      <c r="CT121" s="52">
        <f t="shared" si="275"/>
        <v>4.509569938397906E-2</v>
      </c>
      <c r="CU121" s="52">
        <f t="shared" si="276"/>
        <v>1.4579791554834909E-2</v>
      </c>
      <c r="CV121" s="52">
        <f t="shared" si="277"/>
        <v>1.4127704153936715E-3</v>
      </c>
      <c r="CW121" s="52">
        <f t="shared" si="278"/>
        <v>-2.5828450790742696E-2</v>
      </c>
      <c r="CX121" s="52">
        <f t="shared" si="279"/>
        <v>-1.7373796818246023E-2</v>
      </c>
      <c r="CY121" s="52">
        <f t="shared" si="280"/>
        <v>-1.6161823798019448E-2</v>
      </c>
      <c r="CZ121" s="52">
        <f t="shared" si="281"/>
        <v>-2.6556794484078328E-2</v>
      </c>
      <c r="DA121" s="52">
        <f t="shared" si="282"/>
        <v>-1.4411443127285373E-2</v>
      </c>
      <c r="DB121" s="52">
        <f t="shared" si="283"/>
        <v>-1.7956309400097403E-2</v>
      </c>
      <c r="DC121" s="52">
        <f t="shared" si="284"/>
        <v>-1.6015576767783868E-2</v>
      </c>
      <c r="DD121" s="52">
        <f t="shared" si="285"/>
        <v>-3.4614828936012976E-2</v>
      </c>
      <c r="DE121" s="52">
        <f t="shared" si="286"/>
        <v>-5.2757248210214769E-2</v>
      </c>
      <c r="DF121" s="52">
        <f t="shared" si="287"/>
        <v>-4.0071309531233057E-2</v>
      </c>
      <c r="DG121" s="52">
        <f t="shared" si="288"/>
        <v>-1.7266933442428356E-2</v>
      </c>
      <c r="DH121" s="52">
        <f t="shared" si="289"/>
        <v>-2.5310294035768677E-2</v>
      </c>
      <c r="DI121" s="52">
        <f t="shared" si="290"/>
        <v>1.3319032501496908E-2</v>
      </c>
      <c r="DJ121" s="52">
        <f t="shared" si="291"/>
        <v>8.3529366350898471E-3</v>
      </c>
      <c r="DK121" s="52">
        <f t="shared" si="292"/>
        <v>4.0969718223304863E-3</v>
      </c>
      <c r="DL121" s="52">
        <f t="shared" si="293"/>
        <v>9.1331931294358348E-4</v>
      </c>
      <c r="DM121" s="52">
        <f t="shared" si="294"/>
        <v>-2.1214509825871364E-2</v>
      </c>
      <c r="DN121" s="52">
        <f t="shared" si="295"/>
        <v>-1.3839361378679804E-2</v>
      </c>
      <c r="DO121" s="52">
        <f t="shared" si="296"/>
        <v>-3.1114925199485111E-2</v>
      </c>
      <c r="DP121" s="52" t="str">
        <f t="shared" si="297"/>
        <v/>
      </c>
      <c r="DQ121" s="52" t="str">
        <f t="shared" si="298"/>
        <v/>
      </c>
      <c r="DR121" s="52" t="str">
        <f t="shared" si="299"/>
        <v/>
      </c>
      <c r="DS121" s="52" t="str">
        <f t="shared" si="300"/>
        <v/>
      </c>
      <c r="DT121" s="52" t="str">
        <f t="shared" si="301"/>
        <v/>
      </c>
      <c r="DU121" s="52" t="str">
        <f t="shared" si="302"/>
        <v/>
      </c>
      <c r="DV121" s="52" t="str">
        <f t="shared" si="303"/>
        <v/>
      </c>
      <c r="DW121" s="52" t="str">
        <f t="shared" si="304"/>
        <v/>
      </c>
      <c r="DX121" s="52" t="str">
        <f t="shared" si="305"/>
        <v/>
      </c>
      <c r="DY121" s="52" t="str">
        <f t="shared" si="306"/>
        <v/>
      </c>
      <c r="DZ121" s="52" t="str">
        <f t="shared" si="307"/>
        <v/>
      </c>
      <c r="EA121" s="52" t="str">
        <f t="shared" si="308"/>
        <v/>
      </c>
      <c r="EB121" s="52" t="str">
        <f t="shared" si="309"/>
        <v/>
      </c>
      <c r="EC121" s="52" t="str">
        <f t="shared" si="310"/>
        <v/>
      </c>
      <c r="ED121" s="52" t="str">
        <f t="shared" si="311"/>
        <v/>
      </c>
      <c r="EE121" s="52" t="str">
        <f t="shared" si="312"/>
        <v/>
      </c>
      <c r="EF121" s="52" t="str">
        <f t="shared" si="313"/>
        <v/>
      </c>
      <c r="EG121" s="52" t="str">
        <f t="shared" si="314"/>
        <v/>
      </c>
      <c r="EH121" s="52" t="str">
        <f t="shared" si="315"/>
        <v/>
      </c>
      <c r="EI121" s="52" t="str">
        <f t="shared" si="316"/>
        <v/>
      </c>
      <c r="EJ121" s="52" t="str">
        <f t="shared" si="317"/>
        <v/>
      </c>
      <c r="EK121" s="52" t="str">
        <f t="shared" si="318"/>
        <v/>
      </c>
      <c r="EL121" s="52" t="str">
        <f t="shared" si="319"/>
        <v/>
      </c>
    </row>
    <row r="122" spans="2:142" x14ac:dyDescent="0.25">
      <c r="B122" s="22">
        <f t="shared" si="320"/>
        <v>31</v>
      </c>
      <c r="C122" s="42" t="str">
        <f t="shared" si="320"/>
        <v>YOGHURT</v>
      </c>
      <c r="D122" s="44">
        <f t="shared" si="320"/>
        <v>4.1983999999999997E-3</v>
      </c>
      <c r="E122" s="44">
        <f t="shared" si="320"/>
        <v>3.4065202927478382E-2</v>
      </c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 t="str">
        <f t="shared" si="196"/>
        <v/>
      </c>
      <c r="T122" s="48" t="str">
        <f t="shared" si="197"/>
        <v/>
      </c>
      <c r="U122" s="48" t="str">
        <f t="shared" si="198"/>
        <v/>
      </c>
      <c r="V122" s="48" t="str">
        <f t="shared" si="199"/>
        <v/>
      </c>
      <c r="W122" s="48" t="str">
        <f t="shared" si="200"/>
        <v/>
      </c>
      <c r="X122" s="48" t="str">
        <f t="shared" si="201"/>
        <v/>
      </c>
      <c r="Y122" s="48" t="str">
        <f t="shared" si="202"/>
        <v/>
      </c>
      <c r="Z122" s="48" t="str">
        <f t="shared" si="203"/>
        <v/>
      </c>
      <c r="AA122" s="48" t="str">
        <f t="shared" si="204"/>
        <v/>
      </c>
      <c r="AB122" s="48" t="str">
        <f t="shared" si="205"/>
        <v/>
      </c>
      <c r="AC122" s="48" t="str">
        <f t="shared" si="206"/>
        <v/>
      </c>
      <c r="AD122" s="48" t="str">
        <f t="shared" si="207"/>
        <v/>
      </c>
      <c r="AE122" s="48" t="str">
        <f t="shared" si="208"/>
        <v/>
      </c>
      <c r="AF122" s="48" t="str">
        <f t="shared" si="209"/>
        <v/>
      </c>
      <c r="AG122" s="48" t="str">
        <f t="shared" si="210"/>
        <v/>
      </c>
      <c r="AH122" s="48" t="str">
        <f t="shared" si="211"/>
        <v/>
      </c>
      <c r="AI122" s="48" t="str">
        <f t="shared" si="212"/>
        <v/>
      </c>
      <c r="AJ122" s="48" t="str">
        <f t="shared" si="213"/>
        <v/>
      </c>
      <c r="AK122" s="48" t="str">
        <f t="shared" si="214"/>
        <v/>
      </c>
      <c r="AL122" s="48" t="str">
        <f t="shared" si="215"/>
        <v/>
      </c>
      <c r="AM122" s="48" t="str">
        <f t="shared" si="216"/>
        <v/>
      </c>
      <c r="AN122" s="48" t="str">
        <f t="shared" si="217"/>
        <v/>
      </c>
      <c r="AO122" s="48" t="str">
        <f t="shared" si="218"/>
        <v/>
      </c>
      <c r="AP122" s="48" t="str">
        <f t="shared" si="219"/>
        <v/>
      </c>
      <c r="AQ122" s="48" t="str">
        <f t="shared" si="220"/>
        <v/>
      </c>
      <c r="AR122" s="48" t="str">
        <f t="shared" si="221"/>
        <v/>
      </c>
      <c r="AS122" s="48" t="str">
        <f t="shared" si="222"/>
        <v/>
      </c>
      <c r="AT122" s="48" t="str">
        <f t="shared" si="223"/>
        <v/>
      </c>
      <c r="AU122" s="48" t="str">
        <f t="shared" si="224"/>
        <v/>
      </c>
      <c r="AV122" s="48" t="str">
        <f t="shared" si="225"/>
        <v/>
      </c>
      <c r="AW122" s="48" t="str">
        <f t="shared" si="226"/>
        <v/>
      </c>
      <c r="AX122" s="48" t="str">
        <f t="shared" si="227"/>
        <v/>
      </c>
      <c r="AY122" s="48" t="str">
        <f t="shared" si="228"/>
        <v/>
      </c>
      <c r="AZ122" s="48" t="str">
        <f t="shared" si="229"/>
        <v/>
      </c>
      <c r="BA122" s="48" t="str">
        <f t="shared" si="230"/>
        <v/>
      </c>
      <c r="BB122" s="48" t="str">
        <f t="shared" si="231"/>
        <v/>
      </c>
      <c r="BC122" s="48" t="str">
        <f t="shared" si="232"/>
        <v/>
      </c>
      <c r="BD122" s="48" t="str">
        <f t="shared" si="233"/>
        <v/>
      </c>
      <c r="BE122" s="48" t="str">
        <f t="shared" si="234"/>
        <v/>
      </c>
      <c r="BF122" s="48" t="str">
        <f t="shared" si="235"/>
        <v/>
      </c>
      <c r="BG122" s="48" t="str">
        <f t="shared" si="236"/>
        <v/>
      </c>
      <c r="BH122" s="48" t="str">
        <f t="shared" si="237"/>
        <v/>
      </c>
      <c r="BI122" s="48" t="str">
        <f t="shared" si="238"/>
        <v/>
      </c>
      <c r="BJ122" s="48" t="str">
        <f t="shared" si="239"/>
        <v/>
      </c>
      <c r="BK122" s="48" t="str">
        <f t="shared" si="240"/>
        <v/>
      </c>
      <c r="BL122" s="48" t="str">
        <f t="shared" si="241"/>
        <v/>
      </c>
      <c r="BM122" s="48" t="str">
        <f t="shared" si="242"/>
        <v/>
      </c>
      <c r="BN122" s="48" t="str">
        <f t="shared" si="243"/>
        <v/>
      </c>
      <c r="BO122" s="48" t="str">
        <f t="shared" si="244"/>
        <v/>
      </c>
      <c r="BP122" s="48" t="str">
        <f t="shared" si="245"/>
        <v/>
      </c>
      <c r="BQ122" s="48" t="str">
        <f t="shared" si="246"/>
        <v/>
      </c>
      <c r="BR122" s="48" t="str">
        <f t="shared" si="247"/>
        <v/>
      </c>
      <c r="BS122" s="48" t="str">
        <f t="shared" si="248"/>
        <v/>
      </c>
      <c r="BT122" s="48" t="str">
        <f t="shared" si="249"/>
        <v/>
      </c>
      <c r="BU122" s="48" t="str">
        <f t="shared" si="250"/>
        <v/>
      </c>
      <c r="BV122" s="48" t="str">
        <f t="shared" si="251"/>
        <v/>
      </c>
      <c r="BW122" s="48" t="str">
        <f t="shared" si="252"/>
        <v/>
      </c>
      <c r="BX122" s="48" t="str">
        <f t="shared" si="253"/>
        <v/>
      </c>
      <c r="BY122" s="48" t="str">
        <f t="shared" si="254"/>
        <v/>
      </c>
      <c r="BZ122" s="48" t="str">
        <f t="shared" si="255"/>
        <v/>
      </c>
      <c r="CA122" s="48">
        <f t="shared" si="256"/>
        <v>4.7265872250179086E-2</v>
      </c>
      <c r="CB122" s="48">
        <f t="shared" si="257"/>
        <v>5.0028479672146853E-2</v>
      </c>
      <c r="CC122" s="48">
        <f t="shared" si="258"/>
        <v>5.4746621577493659E-2</v>
      </c>
      <c r="CD122" s="48">
        <f t="shared" si="259"/>
        <v>3.5117762851497147E-2</v>
      </c>
      <c r="CE122" s="48">
        <f t="shared" si="260"/>
        <v>3.1239372321687497E-2</v>
      </c>
      <c r="CF122" s="48">
        <f t="shared" si="261"/>
        <v>2.9268251598266293E-2</v>
      </c>
      <c r="CG122" s="48">
        <f t="shared" si="262"/>
        <v>5.682869764749876E-2</v>
      </c>
      <c r="CH122" s="48">
        <f t="shared" si="263"/>
        <v>5.1137515190402771E-2</v>
      </c>
      <c r="CI122" s="48">
        <f t="shared" si="264"/>
        <v>6.8577439031608289E-2</v>
      </c>
      <c r="CJ122" s="48">
        <f t="shared" si="265"/>
        <v>6.9816881495122995E-2</v>
      </c>
      <c r="CK122" s="48">
        <f t="shared" si="266"/>
        <v>7.1245135329270459E-2</v>
      </c>
      <c r="CL122" s="48">
        <f t="shared" si="267"/>
        <v>5.6599546952517343E-2</v>
      </c>
      <c r="CM122" s="48">
        <f t="shared" si="268"/>
        <v>5.8745404776497034E-2</v>
      </c>
      <c r="CN122" s="48">
        <f t="shared" si="269"/>
        <v>7.7975255418269107E-2</v>
      </c>
      <c r="CO122" s="48">
        <f t="shared" si="270"/>
        <v>5.3326514864450614E-2</v>
      </c>
      <c r="CP122" s="48">
        <f t="shared" si="271"/>
        <v>7.5651209945463593E-2</v>
      </c>
      <c r="CQ122" s="48">
        <f t="shared" si="272"/>
        <v>7.225618531711131E-2</v>
      </c>
      <c r="CR122" s="48">
        <f t="shared" si="273"/>
        <v>5.9319229708965082E-2</v>
      </c>
      <c r="CS122" s="48">
        <f t="shared" si="274"/>
        <v>5.7839222986815875E-2</v>
      </c>
      <c r="CT122" s="48">
        <f t="shared" si="275"/>
        <v>4.9855435291096928E-2</v>
      </c>
      <c r="CU122" s="48">
        <f t="shared" si="276"/>
        <v>3.7319040442017171E-2</v>
      </c>
      <c r="CV122" s="48">
        <f t="shared" si="277"/>
        <v>3.1382664853322195E-2</v>
      </c>
      <c r="CW122" s="48">
        <f t="shared" si="278"/>
        <v>4.9605249296079901E-2</v>
      </c>
      <c r="CX122" s="48">
        <f t="shared" si="279"/>
        <v>5.1329088895482045E-3</v>
      </c>
      <c r="CY122" s="48">
        <f t="shared" si="280"/>
        <v>-1.0658948903848553E-2</v>
      </c>
      <c r="CZ122" s="48">
        <f t="shared" si="281"/>
        <v>-3.2297212452042645E-2</v>
      </c>
      <c r="DA122" s="48">
        <f t="shared" si="282"/>
        <v>-3.4756663479120098E-2</v>
      </c>
      <c r="DB122" s="48">
        <f t="shared" si="283"/>
        <v>-4.2996607562370115E-2</v>
      </c>
      <c r="DC122" s="48">
        <f t="shared" si="284"/>
        <v>-4.0667334467946903E-2</v>
      </c>
      <c r="DD122" s="48">
        <f t="shared" si="285"/>
        <v>-3.0896467239765246E-2</v>
      </c>
      <c r="DE122" s="48">
        <f t="shared" si="286"/>
        <v>-4.0141900347919202E-2</v>
      </c>
      <c r="DF122" s="48">
        <f t="shared" si="287"/>
        <v>-3.7921166791309635E-2</v>
      </c>
      <c r="DG122" s="48">
        <f t="shared" si="288"/>
        <v>-3.5414433293332159E-2</v>
      </c>
      <c r="DH122" s="48">
        <f t="shared" si="289"/>
        <v>-2.7757440330035243E-2</v>
      </c>
      <c r="DI122" s="48">
        <f t="shared" si="290"/>
        <v>-2.0489359502717464E-2</v>
      </c>
      <c r="DJ122" s="48">
        <f t="shared" si="291"/>
        <v>-1.1775945199618221E-2</v>
      </c>
      <c r="DK122" s="48">
        <f t="shared" si="292"/>
        <v>1.6209902979904101E-2</v>
      </c>
      <c r="DL122" s="48">
        <f t="shared" si="293"/>
        <v>5.5830386026582968E-2</v>
      </c>
      <c r="DM122" s="48">
        <f t="shared" si="294"/>
        <v>5.8529725925204001E-2</v>
      </c>
      <c r="DN122" s="48">
        <f t="shared" si="295"/>
        <v>3.813174972054445E-2</v>
      </c>
      <c r="DO122" s="48">
        <f t="shared" si="296"/>
        <v>4.4422159280677942E-2</v>
      </c>
      <c r="DP122" s="48" t="str">
        <f t="shared" si="297"/>
        <v/>
      </c>
      <c r="DQ122" s="48" t="str">
        <f t="shared" si="298"/>
        <v/>
      </c>
      <c r="DR122" s="48" t="str">
        <f t="shared" si="299"/>
        <v/>
      </c>
      <c r="DS122" s="48" t="str">
        <f t="shared" si="300"/>
        <v/>
      </c>
      <c r="DT122" s="48" t="str">
        <f t="shared" si="301"/>
        <v/>
      </c>
      <c r="DU122" s="48" t="str">
        <f t="shared" si="302"/>
        <v/>
      </c>
      <c r="DV122" s="48" t="str">
        <f t="shared" si="303"/>
        <v/>
      </c>
      <c r="DW122" s="48" t="str">
        <f t="shared" si="304"/>
        <v/>
      </c>
      <c r="DX122" s="48" t="str">
        <f t="shared" si="305"/>
        <v/>
      </c>
      <c r="DY122" s="48" t="str">
        <f t="shared" si="306"/>
        <v/>
      </c>
      <c r="DZ122" s="48" t="str">
        <f t="shared" si="307"/>
        <v/>
      </c>
      <c r="EA122" s="48" t="str">
        <f t="shared" si="308"/>
        <v/>
      </c>
      <c r="EB122" s="48" t="str">
        <f t="shared" si="309"/>
        <v/>
      </c>
      <c r="EC122" s="48" t="str">
        <f t="shared" si="310"/>
        <v/>
      </c>
      <c r="ED122" s="48" t="str">
        <f t="shared" si="311"/>
        <v/>
      </c>
      <c r="EE122" s="48" t="str">
        <f t="shared" si="312"/>
        <v/>
      </c>
      <c r="EF122" s="48" t="str">
        <f t="shared" si="313"/>
        <v/>
      </c>
      <c r="EG122" s="48" t="str">
        <f t="shared" si="314"/>
        <v/>
      </c>
      <c r="EH122" s="48" t="str">
        <f t="shared" si="315"/>
        <v/>
      </c>
      <c r="EI122" s="48" t="str">
        <f t="shared" si="316"/>
        <v/>
      </c>
      <c r="EJ122" s="48" t="str">
        <f t="shared" si="317"/>
        <v/>
      </c>
      <c r="EK122" s="48" t="str">
        <f t="shared" si="318"/>
        <v/>
      </c>
      <c r="EL122" s="48" t="str">
        <f t="shared" si="319"/>
        <v/>
      </c>
    </row>
    <row r="123" spans="2:142" x14ac:dyDescent="0.25">
      <c r="B123" s="22">
        <f t="shared" si="320"/>
        <v>32</v>
      </c>
      <c r="C123" s="16" t="str">
        <f t="shared" si="320"/>
        <v>LEGUMBRES</v>
      </c>
      <c r="D123" s="24">
        <f t="shared" si="320"/>
        <v>1.3135E-3</v>
      </c>
      <c r="E123" s="24">
        <f t="shared" si="320"/>
        <v>1.0657546695227433E-2</v>
      </c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 t="str">
        <f t="shared" si="196"/>
        <v/>
      </c>
      <c r="T123" s="48" t="str">
        <f t="shared" si="197"/>
        <v/>
      </c>
      <c r="U123" s="48" t="str">
        <f t="shared" si="198"/>
        <v/>
      </c>
      <c r="V123" s="48" t="str">
        <f t="shared" si="199"/>
        <v/>
      </c>
      <c r="W123" s="48" t="str">
        <f t="shared" si="200"/>
        <v/>
      </c>
      <c r="X123" s="48" t="str">
        <f t="shared" si="201"/>
        <v/>
      </c>
      <c r="Y123" s="48" t="str">
        <f t="shared" si="202"/>
        <v/>
      </c>
      <c r="Z123" s="48" t="str">
        <f t="shared" si="203"/>
        <v/>
      </c>
      <c r="AA123" s="48" t="str">
        <f t="shared" si="204"/>
        <v/>
      </c>
      <c r="AB123" s="48" t="str">
        <f t="shared" si="205"/>
        <v/>
      </c>
      <c r="AC123" s="48" t="str">
        <f t="shared" si="206"/>
        <v/>
      </c>
      <c r="AD123" s="48" t="str">
        <f t="shared" si="207"/>
        <v/>
      </c>
      <c r="AE123" s="48" t="str">
        <f t="shared" si="208"/>
        <v/>
      </c>
      <c r="AF123" s="48" t="str">
        <f t="shared" si="209"/>
        <v/>
      </c>
      <c r="AG123" s="48" t="str">
        <f t="shared" si="210"/>
        <v/>
      </c>
      <c r="AH123" s="48" t="str">
        <f t="shared" si="211"/>
        <v/>
      </c>
      <c r="AI123" s="48" t="str">
        <f t="shared" si="212"/>
        <v/>
      </c>
      <c r="AJ123" s="48" t="str">
        <f t="shared" si="213"/>
        <v/>
      </c>
      <c r="AK123" s="48" t="str">
        <f t="shared" si="214"/>
        <v/>
      </c>
      <c r="AL123" s="48" t="str">
        <f t="shared" si="215"/>
        <v/>
      </c>
      <c r="AM123" s="48" t="str">
        <f t="shared" si="216"/>
        <v/>
      </c>
      <c r="AN123" s="48" t="str">
        <f t="shared" si="217"/>
        <v/>
      </c>
      <c r="AO123" s="48" t="str">
        <f t="shared" si="218"/>
        <v/>
      </c>
      <c r="AP123" s="48" t="str">
        <f t="shared" si="219"/>
        <v/>
      </c>
      <c r="AQ123" s="48" t="str">
        <f t="shared" si="220"/>
        <v/>
      </c>
      <c r="AR123" s="48" t="str">
        <f t="shared" si="221"/>
        <v/>
      </c>
      <c r="AS123" s="48" t="str">
        <f t="shared" si="222"/>
        <v/>
      </c>
      <c r="AT123" s="48" t="str">
        <f t="shared" si="223"/>
        <v/>
      </c>
      <c r="AU123" s="48" t="str">
        <f t="shared" si="224"/>
        <v/>
      </c>
      <c r="AV123" s="48" t="str">
        <f t="shared" si="225"/>
        <v/>
      </c>
      <c r="AW123" s="48" t="str">
        <f t="shared" si="226"/>
        <v/>
      </c>
      <c r="AX123" s="48" t="str">
        <f t="shared" si="227"/>
        <v/>
      </c>
      <c r="AY123" s="48" t="str">
        <f t="shared" si="228"/>
        <v/>
      </c>
      <c r="AZ123" s="48" t="str">
        <f t="shared" si="229"/>
        <v/>
      </c>
      <c r="BA123" s="48" t="str">
        <f t="shared" si="230"/>
        <v/>
      </c>
      <c r="BB123" s="48" t="str">
        <f t="shared" si="231"/>
        <v/>
      </c>
      <c r="BC123" s="48" t="str">
        <f t="shared" si="232"/>
        <v/>
      </c>
      <c r="BD123" s="48" t="str">
        <f t="shared" si="233"/>
        <v/>
      </c>
      <c r="BE123" s="48" t="str">
        <f t="shared" si="234"/>
        <v/>
      </c>
      <c r="BF123" s="48" t="str">
        <f t="shared" si="235"/>
        <v/>
      </c>
      <c r="BG123" s="48" t="str">
        <f t="shared" si="236"/>
        <v/>
      </c>
      <c r="BH123" s="48" t="str">
        <f t="shared" si="237"/>
        <v/>
      </c>
      <c r="BI123" s="48" t="str">
        <f t="shared" si="238"/>
        <v/>
      </c>
      <c r="BJ123" s="48" t="str">
        <f t="shared" si="239"/>
        <v/>
      </c>
      <c r="BK123" s="48" t="str">
        <f t="shared" si="240"/>
        <v/>
      </c>
      <c r="BL123" s="48" t="str">
        <f t="shared" si="241"/>
        <v/>
      </c>
      <c r="BM123" s="48" t="str">
        <f t="shared" si="242"/>
        <v/>
      </c>
      <c r="BN123" s="48" t="str">
        <f t="shared" si="243"/>
        <v/>
      </c>
      <c r="BO123" s="48" t="str">
        <f t="shared" si="244"/>
        <v/>
      </c>
      <c r="BP123" s="48" t="str">
        <f t="shared" si="245"/>
        <v/>
      </c>
      <c r="BQ123" s="48" t="str">
        <f t="shared" si="246"/>
        <v/>
      </c>
      <c r="BR123" s="48" t="str">
        <f t="shared" si="247"/>
        <v/>
      </c>
      <c r="BS123" s="48" t="str">
        <f t="shared" si="248"/>
        <v/>
      </c>
      <c r="BT123" s="48" t="str">
        <f t="shared" si="249"/>
        <v/>
      </c>
      <c r="BU123" s="48" t="str">
        <f t="shared" si="250"/>
        <v/>
      </c>
      <c r="BV123" s="48" t="str">
        <f t="shared" si="251"/>
        <v/>
      </c>
      <c r="BW123" s="48" t="str">
        <f t="shared" si="252"/>
        <v/>
      </c>
      <c r="BX123" s="48" t="str">
        <f t="shared" si="253"/>
        <v/>
      </c>
      <c r="BY123" s="48" t="str">
        <f t="shared" si="254"/>
        <v/>
      </c>
      <c r="BZ123" s="48" t="str">
        <f t="shared" si="255"/>
        <v/>
      </c>
      <c r="CA123" s="48">
        <f t="shared" si="256"/>
        <v>7.4291073236557148E-2</v>
      </c>
      <c r="CB123" s="48">
        <f t="shared" si="257"/>
        <v>8.8697656206403908E-2</v>
      </c>
      <c r="CC123" s="48">
        <f t="shared" si="258"/>
        <v>6.8884932599530435E-2</v>
      </c>
      <c r="CD123" s="48">
        <f t="shared" si="259"/>
        <v>0.11336889614816559</v>
      </c>
      <c r="CE123" s="48">
        <f t="shared" si="260"/>
        <v>3.3166210707349153E-2</v>
      </c>
      <c r="CF123" s="48">
        <f t="shared" si="261"/>
        <v>2.4999286576732338E-4</v>
      </c>
      <c r="CG123" s="48">
        <f t="shared" si="262"/>
        <v>1.4981169988004472E-2</v>
      </c>
      <c r="CH123" s="48">
        <f t="shared" si="263"/>
        <v>1.9184973302087016E-2</v>
      </c>
      <c r="CI123" s="48">
        <f t="shared" si="264"/>
        <v>1.7773898789253062E-2</v>
      </c>
      <c r="CJ123" s="48">
        <f t="shared" si="265"/>
        <v>3.4314660902228233E-3</v>
      </c>
      <c r="CK123" s="48">
        <f t="shared" si="266"/>
        <v>9.6162473516736569E-3</v>
      </c>
      <c r="CL123" s="48">
        <f t="shared" si="267"/>
        <v>9.2419122002904697E-3</v>
      </c>
      <c r="CM123" s="48">
        <f t="shared" si="268"/>
        <v>8.9057324367478596E-3</v>
      </c>
      <c r="CN123" s="48">
        <f t="shared" si="269"/>
        <v>2.3883750187099206E-2</v>
      </c>
      <c r="CO123" s="48">
        <f t="shared" si="270"/>
        <v>9.7264853617673452E-3</v>
      </c>
      <c r="CP123" s="48">
        <f t="shared" si="271"/>
        <v>-1.4160175271679565E-2</v>
      </c>
      <c r="CQ123" s="48">
        <f t="shared" si="272"/>
        <v>1.5912205722621753E-2</v>
      </c>
      <c r="CR123" s="48">
        <f t="shared" si="273"/>
        <v>2.9694552714877309E-2</v>
      </c>
      <c r="CS123" s="48">
        <f t="shared" si="274"/>
        <v>2.0770022766732232E-2</v>
      </c>
      <c r="CT123" s="48">
        <f t="shared" si="275"/>
        <v>1.2478179415741808E-2</v>
      </c>
      <c r="CU123" s="48">
        <f t="shared" si="276"/>
        <v>-3.1703686784574359E-3</v>
      </c>
      <c r="CV123" s="48">
        <f t="shared" si="277"/>
        <v>8.0637760750457144E-3</v>
      </c>
      <c r="CW123" s="48">
        <f t="shared" si="278"/>
        <v>-1.0361422217112115E-2</v>
      </c>
      <c r="CX123" s="48">
        <f t="shared" si="279"/>
        <v>-5.3705024810036917E-2</v>
      </c>
      <c r="CY123" s="48">
        <f t="shared" si="280"/>
        <v>-7.4671544889069796E-2</v>
      </c>
      <c r="CZ123" s="48">
        <f t="shared" si="281"/>
        <v>-8.7516997989874112E-2</v>
      </c>
      <c r="DA123" s="48">
        <f t="shared" si="282"/>
        <v>-7.3363989027896426E-2</v>
      </c>
      <c r="DB123" s="48">
        <f t="shared" si="283"/>
        <v>-4.6692853820047509E-2</v>
      </c>
      <c r="DC123" s="48">
        <f t="shared" si="284"/>
        <v>-7.2732741856718519E-2</v>
      </c>
      <c r="DD123" s="48">
        <f t="shared" si="285"/>
        <v>-7.2963094168310594E-2</v>
      </c>
      <c r="DE123" s="48">
        <f t="shared" si="286"/>
        <v>-6.807901019985485E-2</v>
      </c>
      <c r="DF123" s="48">
        <f t="shared" si="287"/>
        <v>-6.2725062067665593E-2</v>
      </c>
      <c r="DG123" s="48">
        <f t="shared" si="288"/>
        <v>-3.3115810433521853E-2</v>
      </c>
      <c r="DH123" s="48">
        <f t="shared" si="289"/>
        <v>-2.1547007783713323E-2</v>
      </c>
      <c r="DI123" s="48">
        <f t="shared" si="290"/>
        <v>-1.7401416410328663E-2</v>
      </c>
      <c r="DJ123" s="48">
        <f t="shared" si="291"/>
        <v>2.902500932341967E-2</v>
      </c>
      <c r="DK123" s="48">
        <f t="shared" si="292"/>
        <v>5.3236454156911917E-2</v>
      </c>
      <c r="DL123" s="48">
        <f t="shared" si="293"/>
        <v>6.7510460424081487E-2</v>
      </c>
      <c r="DM123" s="48">
        <f t="shared" si="294"/>
        <v>5.8554800853018119E-2</v>
      </c>
      <c r="DN123" s="48">
        <f t="shared" si="295"/>
        <v>5.6821010836213492E-2</v>
      </c>
      <c r="DO123" s="48">
        <f t="shared" si="296"/>
        <v>4.7619381778328362E-2</v>
      </c>
      <c r="DP123" s="48" t="str">
        <f t="shared" si="297"/>
        <v/>
      </c>
      <c r="DQ123" s="48" t="str">
        <f t="shared" si="298"/>
        <v/>
      </c>
      <c r="DR123" s="48" t="str">
        <f t="shared" si="299"/>
        <v/>
      </c>
      <c r="DS123" s="48" t="str">
        <f t="shared" si="300"/>
        <v/>
      </c>
      <c r="DT123" s="48" t="str">
        <f t="shared" si="301"/>
        <v/>
      </c>
      <c r="DU123" s="48" t="str">
        <f t="shared" si="302"/>
        <v/>
      </c>
      <c r="DV123" s="48" t="str">
        <f t="shared" si="303"/>
        <v/>
      </c>
      <c r="DW123" s="48" t="str">
        <f t="shared" si="304"/>
        <v/>
      </c>
      <c r="DX123" s="48" t="str">
        <f t="shared" si="305"/>
        <v/>
      </c>
      <c r="DY123" s="48" t="str">
        <f t="shared" si="306"/>
        <v/>
      </c>
      <c r="DZ123" s="48" t="str">
        <f t="shared" si="307"/>
        <v/>
      </c>
      <c r="EA123" s="48" t="str">
        <f t="shared" si="308"/>
        <v/>
      </c>
      <c r="EB123" s="48" t="str">
        <f t="shared" si="309"/>
        <v/>
      </c>
      <c r="EC123" s="48" t="str">
        <f t="shared" si="310"/>
        <v/>
      </c>
      <c r="ED123" s="48" t="str">
        <f t="shared" si="311"/>
        <v/>
      </c>
      <c r="EE123" s="48" t="str">
        <f t="shared" si="312"/>
        <v/>
      </c>
      <c r="EF123" s="48" t="str">
        <f t="shared" si="313"/>
        <v/>
      </c>
      <c r="EG123" s="48" t="str">
        <f t="shared" si="314"/>
        <v/>
      </c>
      <c r="EH123" s="48" t="str">
        <f t="shared" si="315"/>
        <v/>
      </c>
      <c r="EI123" s="48" t="str">
        <f t="shared" si="316"/>
        <v/>
      </c>
      <c r="EJ123" s="48" t="str">
        <f t="shared" si="317"/>
        <v/>
      </c>
      <c r="EK123" s="48" t="str">
        <f t="shared" si="318"/>
        <v/>
      </c>
      <c r="EL123" s="48" t="str">
        <f t="shared" si="319"/>
        <v/>
      </c>
    </row>
    <row r="124" spans="2:142" x14ac:dyDescent="0.25">
      <c r="B124" s="22">
        <f t="shared" si="320"/>
        <v>33</v>
      </c>
      <c r="C124" s="16" t="str">
        <f t="shared" si="320"/>
        <v>PAN</v>
      </c>
      <c r="D124" s="24">
        <f t="shared" si="320"/>
        <v>2.09319E-2</v>
      </c>
      <c r="E124" s="24">
        <f t="shared" si="320"/>
        <v>0.169838372036415</v>
      </c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 t="str">
        <f t="shared" si="196"/>
        <v/>
      </c>
      <c r="T124" s="48" t="str">
        <f t="shared" si="197"/>
        <v/>
      </c>
      <c r="U124" s="48" t="str">
        <f t="shared" si="198"/>
        <v/>
      </c>
      <c r="V124" s="48" t="str">
        <f t="shared" si="199"/>
        <v/>
      </c>
      <c r="W124" s="48" t="str">
        <f t="shared" si="200"/>
        <v/>
      </c>
      <c r="X124" s="48" t="str">
        <f t="shared" si="201"/>
        <v/>
      </c>
      <c r="Y124" s="48" t="str">
        <f t="shared" si="202"/>
        <v/>
      </c>
      <c r="Z124" s="48" t="str">
        <f t="shared" si="203"/>
        <v/>
      </c>
      <c r="AA124" s="48" t="str">
        <f t="shared" si="204"/>
        <v/>
      </c>
      <c r="AB124" s="48" t="str">
        <f t="shared" si="205"/>
        <v/>
      </c>
      <c r="AC124" s="48" t="str">
        <f t="shared" si="206"/>
        <v/>
      </c>
      <c r="AD124" s="48" t="str">
        <f t="shared" si="207"/>
        <v/>
      </c>
      <c r="AE124" s="48" t="str">
        <f t="shared" si="208"/>
        <v/>
      </c>
      <c r="AF124" s="48" t="str">
        <f t="shared" si="209"/>
        <v/>
      </c>
      <c r="AG124" s="48" t="str">
        <f t="shared" si="210"/>
        <v/>
      </c>
      <c r="AH124" s="48" t="str">
        <f t="shared" si="211"/>
        <v/>
      </c>
      <c r="AI124" s="48" t="str">
        <f t="shared" si="212"/>
        <v/>
      </c>
      <c r="AJ124" s="48" t="str">
        <f t="shared" si="213"/>
        <v/>
      </c>
      <c r="AK124" s="48">
        <f t="shared" si="214"/>
        <v>1.8893017880005525E-2</v>
      </c>
      <c r="AL124" s="48" t="str">
        <f t="shared" si="215"/>
        <v/>
      </c>
      <c r="AM124" s="48">
        <f t="shared" si="216"/>
        <v>2.1512384551675368E-2</v>
      </c>
      <c r="AN124" s="48">
        <f t="shared" si="217"/>
        <v>1.1740973843983094E-2</v>
      </c>
      <c r="AO124" s="48" t="str">
        <f t="shared" si="218"/>
        <v/>
      </c>
      <c r="AP124" s="48">
        <f t="shared" si="219"/>
        <v>1.4966361629954905E-2</v>
      </c>
      <c r="AQ124" s="48">
        <f t="shared" si="220"/>
        <v>1.9107905573116923E-2</v>
      </c>
      <c r="AR124" s="48" t="str">
        <f t="shared" si="221"/>
        <v/>
      </c>
      <c r="AS124" s="48">
        <f t="shared" si="222"/>
        <v>-1.9163107732691587E-2</v>
      </c>
      <c r="AT124" s="48">
        <f t="shared" si="223"/>
        <v>-3.338256089956082E-3</v>
      </c>
      <c r="AU124" s="48" t="str">
        <f t="shared" si="224"/>
        <v/>
      </c>
      <c r="AV124" s="48">
        <f t="shared" si="225"/>
        <v>1.4526061475628183E-2</v>
      </c>
      <c r="AW124" s="48">
        <f t="shared" si="226"/>
        <v>5.7460152872484072E-2</v>
      </c>
      <c r="AX124" s="48" t="str">
        <f t="shared" si="227"/>
        <v/>
      </c>
      <c r="AY124" s="48">
        <f t="shared" si="228"/>
        <v>7.5506491187216307E-2</v>
      </c>
      <c r="AZ124" s="48" t="str">
        <f t="shared" si="229"/>
        <v/>
      </c>
      <c r="BA124" s="48" t="str">
        <f t="shared" si="230"/>
        <v/>
      </c>
      <c r="BB124" s="48">
        <f t="shared" si="231"/>
        <v>0.13585276997683993</v>
      </c>
      <c r="BC124" s="48" t="str">
        <f t="shared" si="232"/>
        <v/>
      </c>
      <c r="BD124" s="48" t="str">
        <f t="shared" si="233"/>
        <v/>
      </c>
      <c r="BE124" s="48">
        <f t="shared" si="234"/>
        <v>0.10543757353779615</v>
      </c>
      <c r="BF124" s="48" t="str">
        <f t="shared" si="235"/>
        <v/>
      </c>
      <c r="BG124" s="48" t="str">
        <f t="shared" si="236"/>
        <v/>
      </c>
      <c r="BH124" s="48">
        <f t="shared" si="237"/>
        <v>8.1037390316773816E-2</v>
      </c>
      <c r="BI124" s="48" t="str">
        <f t="shared" si="238"/>
        <v/>
      </c>
      <c r="BJ124" s="48">
        <f t="shared" si="239"/>
        <v>3.2506835723463245E-2</v>
      </c>
      <c r="BK124" s="48">
        <f t="shared" si="240"/>
        <v>3.2902030153477257E-2</v>
      </c>
      <c r="BL124" s="48" t="str">
        <f t="shared" si="241"/>
        <v/>
      </c>
      <c r="BM124" s="48">
        <f t="shared" si="242"/>
        <v>1.4023510706657749E-2</v>
      </c>
      <c r="BN124" s="48">
        <f t="shared" si="243"/>
        <v>1.4137029066022988E-2</v>
      </c>
      <c r="BO124" s="48" t="str">
        <f t="shared" si="244"/>
        <v/>
      </c>
      <c r="BP124" s="48">
        <f t="shared" si="245"/>
        <v>4.3986411933228053E-2</v>
      </c>
      <c r="BQ124" s="48">
        <f t="shared" si="246"/>
        <v>6.0244748737030784E-2</v>
      </c>
      <c r="BR124" s="48" t="str">
        <f t="shared" si="247"/>
        <v/>
      </c>
      <c r="BS124" s="48">
        <f t="shared" si="248"/>
        <v>7.8483116741749237E-2</v>
      </c>
      <c r="BT124" s="48">
        <f t="shared" si="249"/>
        <v>7.7933889214111707E-2</v>
      </c>
      <c r="BU124" s="48" t="str">
        <f t="shared" si="250"/>
        <v/>
      </c>
      <c r="BV124" s="48">
        <f t="shared" si="251"/>
        <v>3.3464784093983013E-2</v>
      </c>
      <c r="BW124" s="48">
        <f t="shared" si="252"/>
        <v>2.5568650479609545E-2</v>
      </c>
      <c r="BX124" s="48">
        <f t="shared" si="253"/>
        <v>5.2771723851322339E-2</v>
      </c>
      <c r="BY124" s="48">
        <f t="shared" si="254"/>
        <v>3.4799406942867428E-2</v>
      </c>
      <c r="BZ124" s="48">
        <f t="shared" si="255"/>
        <v>3.7459044996384971E-2</v>
      </c>
      <c r="CA124" s="48">
        <f t="shared" si="256"/>
        <v>8.7043439945664325E-3</v>
      </c>
      <c r="CB124" s="48">
        <f t="shared" si="257"/>
        <v>3.6141959993667427E-3</v>
      </c>
      <c r="CC124" s="48">
        <f t="shared" si="258"/>
        <v>-6.6723795092118454E-3</v>
      </c>
      <c r="CD124" s="48">
        <f t="shared" si="259"/>
        <v>6.9840316544222958E-3</v>
      </c>
      <c r="CE124" s="48">
        <f t="shared" si="260"/>
        <v>1.6307795096117683E-2</v>
      </c>
      <c r="CF124" s="48">
        <f t="shared" si="261"/>
        <v>3.2747840182847598E-2</v>
      </c>
      <c r="CG124" s="48">
        <f t="shared" si="262"/>
        <v>6.7847782212131502E-2</v>
      </c>
      <c r="CH124" s="48">
        <f t="shared" si="263"/>
        <v>7.4557510764514445E-2</v>
      </c>
      <c r="CI124" s="48">
        <f t="shared" si="264"/>
        <v>8.6529719627139956E-2</v>
      </c>
      <c r="CJ124" s="48">
        <f t="shared" si="265"/>
        <v>7.748120315864182E-2</v>
      </c>
      <c r="CK124" s="48">
        <f t="shared" si="266"/>
        <v>9.0033244077796892E-2</v>
      </c>
      <c r="CL124" s="48">
        <f t="shared" si="267"/>
        <v>6.4807012027503497E-2</v>
      </c>
      <c r="CM124" s="48">
        <f t="shared" si="268"/>
        <v>8.2786847398912622E-2</v>
      </c>
      <c r="CN124" s="48">
        <f t="shared" si="269"/>
        <v>9.3352364883351635E-2</v>
      </c>
      <c r="CO124" s="48">
        <f t="shared" si="270"/>
        <v>9.3441269418563122E-2</v>
      </c>
      <c r="CP124" s="48">
        <f t="shared" si="271"/>
        <v>7.9494307658819707E-2</v>
      </c>
      <c r="CQ124" s="48">
        <f t="shared" si="272"/>
        <v>6.1000655599335651E-2</v>
      </c>
      <c r="CR124" s="48">
        <f t="shared" si="273"/>
        <v>3.8561298510344733E-2</v>
      </c>
      <c r="CS124" s="48">
        <f t="shared" si="274"/>
        <v>4.0789601075714499E-2</v>
      </c>
      <c r="CT124" s="48">
        <f t="shared" si="275"/>
        <v>3.8136353309730087E-2</v>
      </c>
      <c r="CU124" s="48">
        <f t="shared" si="276"/>
        <v>2.4515786659596417E-2</v>
      </c>
      <c r="CV124" s="48">
        <f t="shared" si="277"/>
        <v>3.0057181692476398E-2</v>
      </c>
      <c r="CW124" s="48">
        <f t="shared" si="278"/>
        <v>3.4940007632766168E-2</v>
      </c>
      <c r="CX124" s="48">
        <f t="shared" si="279"/>
        <v>4.4557339276553254E-2</v>
      </c>
      <c r="CY124" s="48">
        <f t="shared" si="280"/>
        <v>2.0789025820841411E-2</v>
      </c>
      <c r="CZ124" s="48">
        <f t="shared" si="281"/>
        <v>2.6782921006217819E-2</v>
      </c>
      <c r="DA124" s="48">
        <f t="shared" si="282"/>
        <v>2.4749409125411459E-2</v>
      </c>
      <c r="DB124" s="48">
        <f t="shared" si="283"/>
        <v>2.5099724609593421E-2</v>
      </c>
      <c r="DC124" s="48">
        <f t="shared" si="284"/>
        <v>2.0600783434674641E-2</v>
      </c>
      <c r="DD124" s="48">
        <f t="shared" si="285"/>
        <v>1.9954777846039384E-2</v>
      </c>
      <c r="DE124" s="48">
        <f t="shared" si="286"/>
        <v>2.2591678434300766E-2</v>
      </c>
      <c r="DF124" s="48">
        <f t="shared" si="287"/>
        <v>1.7991412158978148E-2</v>
      </c>
      <c r="DG124" s="48">
        <f t="shared" si="288"/>
        <v>2.3508554459306108E-2</v>
      </c>
      <c r="DH124" s="48">
        <f t="shared" si="289"/>
        <v>1.8452923884479944E-2</v>
      </c>
      <c r="DI124" s="48">
        <f t="shared" si="290"/>
        <v>1.3708878218332998E-2</v>
      </c>
      <c r="DJ124" s="48">
        <f t="shared" si="291"/>
        <v>1.2670556086373574E-2</v>
      </c>
      <c r="DK124" s="48">
        <f t="shared" si="292"/>
        <v>2.3021740659526779E-2</v>
      </c>
      <c r="DL124" s="48">
        <f t="shared" si="293"/>
        <v>2.0373420860469116E-2</v>
      </c>
      <c r="DM124" s="48">
        <f t="shared" si="294"/>
        <v>2.1348402279067091E-2</v>
      </c>
      <c r="DN124" s="48">
        <f t="shared" si="295"/>
        <v>2.4163028212059734E-2</v>
      </c>
      <c r="DO124" s="48">
        <f t="shared" si="296"/>
        <v>2.0380075149918575E-2</v>
      </c>
      <c r="DP124" s="48" t="str">
        <f t="shared" si="297"/>
        <v/>
      </c>
      <c r="DQ124" s="48" t="str">
        <f t="shared" si="298"/>
        <v/>
      </c>
      <c r="DR124" s="48" t="str">
        <f t="shared" si="299"/>
        <v/>
      </c>
      <c r="DS124" s="48" t="str">
        <f t="shared" si="300"/>
        <v/>
      </c>
      <c r="DT124" s="48" t="str">
        <f t="shared" si="301"/>
        <v/>
      </c>
      <c r="DU124" s="48" t="str">
        <f t="shared" si="302"/>
        <v/>
      </c>
      <c r="DV124" s="48" t="str">
        <f t="shared" si="303"/>
        <v/>
      </c>
      <c r="DW124" s="48" t="str">
        <f t="shared" si="304"/>
        <v/>
      </c>
      <c r="DX124" s="48" t="str">
        <f t="shared" si="305"/>
        <v/>
      </c>
      <c r="DY124" s="48" t="str">
        <f t="shared" si="306"/>
        <v/>
      </c>
      <c r="DZ124" s="48" t="str">
        <f t="shared" si="307"/>
        <v/>
      </c>
      <c r="EA124" s="48" t="str">
        <f t="shared" si="308"/>
        <v/>
      </c>
      <c r="EB124" s="48" t="str">
        <f t="shared" si="309"/>
        <v/>
      </c>
      <c r="EC124" s="48" t="str">
        <f t="shared" si="310"/>
        <v/>
      </c>
      <c r="ED124" s="48" t="str">
        <f t="shared" si="311"/>
        <v/>
      </c>
      <c r="EE124" s="48" t="str">
        <f t="shared" si="312"/>
        <v/>
      </c>
      <c r="EF124" s="48" t="str">
        <f t="shared" si="313"/>
        <v/>
      </c>
      <c r="EG124" s="48" t="str">
        <f t="shared" si="314"/>
        <v/>
      </c>
      <c r="EH124" s="48" t="str">
        <f t="shared" si="315"/>
        <v/>
      </c>
      <c r="EI124" s="48" t="str">
        <f t="shared" si="316"/>
        <v/>
      </c>
      <c r="EJ124" s="48" t="str">
        <f t="shared" si="317"/>
        <v/>
      </c>
      <c r="EK124" s="48" t="str">
        <f t="shared" si="318"/>
        <v/>
      </c>
      <c r="EL124" s="48" t="str">
        <f t="shared" si="319"/>
        <v/>
      </c>
    </row>
    <row r="125" spans="2:142" x14ac:dyDescent="0.25">
      <c r="B125" s="26">
        <f t="shared" si="320"/>
        <v>34</v>
      </c>
      <c r="C125" s="27" t="str">
        <f t="shared" si="320"/>
        <v>BEBIDA GASEOSA</v>
      </c>
      <c r="D125" s="28">
        <f t="shared" si="320"/>
        <v>1.13388E-2</v>
      </c>
      <c r="E125" s="28">
        <f t="shared" si="320"/>
        <v>9.2001363127403743E-2</v>
      </c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 t="str">
        <f t="shared" si="196"/>
        <v/>
      </c>
      <c r="T125" s="49" t="str">
        <f t="shared" si="197"/>
        <v/>
      </c>
      <c r="U125" s="49" t="str">
        <f t="shared" si="198"/>
        <v/>
      </c>
      <c r="V125" s="49" t="str">
        <f t="shared" si="199"/>
        <v/>
      </c>
      <c r="W125" s="49" t="str">
        <f t="shared" si="200"/>
        <v/>
      </c>
      <c r="X125" s="49" t="str">
        <f t="shared" si="201"/>
        <v/>
      </c>
      <c r="Y125" s="49" t="str">
        <f t="shared" si="202"/>
        <v/>
      </c>
      <c r="Z125" s="49" t="str">
        <f t="shared" si="203"/>
        <v/>
      </c>
      <c r="AA125" s="49" t="str">
        <f t="shared" si="204"/>
        <v/>
      </c>
      <c r="AB125" s="49" t="str">
        <f t="shared" si="205"/>
        <v/>
      </c>
      <c r="AC125" s="49" t="str">
        <f t="shared" si="206"/>
        <v/>
      </c>
      <c r="AD125" s="49" t="str">
        <f t="shared" si="207"/>
        <v/>
      </c>
      <c r="AE125" s="49" t="str">
        <f t="shared" si="208"/>
        <v/>
      </c>
      <c r="AF125" s="49" t="str">
        <f t="shared" si="209"/>
        <v/>
      </c>
      <c r="AG125" s="49" t="str">
        <f t="shared" si="210"/>
        <v/>
      </c>
      <c r="AH125" s="49" t="str">
        <f t="shared" si="211"/>
        <v/>
      </c>
      <c r="AI125" s="49" t="str">
        <f t="shared" si="212"/>
        <v/>
      </c>
      <c r="AJ125" s="49" t="str">
        <f t="shared" si="213"/>
        <v/>
      </c>
      <c r="AK125" s="49" t="str">
        <f t="shared" si="214"/>
        <v/>
      </c>
      <c r="AL125" s="49" t="str">
        <f t="shared" si="215"/>
        <v/>
      </c>
      <c r="AM125" s="49" t="str">
        <f t="shared" si="216"/>
        <v/>
      </c>
      <c r="AN125" s="49" t="str">
        <f t="shared" si="217"/>
        <v/>
      </c>
      <c r="AO125" s="49" t="str">
        <f t="shared" si="218"/>
        <v/>
      </c>
      <c r="AP125" s="49" t="str">
        <f t="shared" si="219"/>
        <v/>
      </c>
      <c r="AQ125" s="49" t="str">
        <f t="shared" si="220"/>
        <v/>
      </c>
      <c r="AR125" s="49" t="str">
        <f t="shared" si="221"/>
        <v/>
      </c>
      <c r="AS125" s="49" t="str">
        <f t="shared" si="222"/>
        <v/>
      </c>
      <c r="AT125" s="49" t="str">
        <f t="shared" si="223"/>
        <v/>
      </c>
      <c r="AU125" s="49" t="str">
        <f t="shared" si="224"/>
        <v/>
      </c>
      <c r="AV125" s="49" t="str">
        <f t="shared" si="225"/>
        <v/>
      </c>
      <c r="AW125" s="49" t="str">
        <f t="shared" si="226"/>
        <v/>
      </c>
      <c r="AX125" s="49" t="str">
        <f t="shared" si="227"/>
        <v/>
      </c>
      <c r="AY125" s="49" t="str">
        <f t="shared" si="228"/>
        <v/>
      </c>
      <c r="AZ125" s="49" t="str">
        <f t="shared" si="229"/>
        <v/>
      </c>
      <c r="BA125" s="49" t="str">
        <f t="shared" si="230"/>
        <v/>
      </c>
      <c r="BB125" s="49" t="str">
        <f t="shared" si="231"/>
        <v/>
      </c>
      <c r="BC125" s="49" t="str">
        <f t="shared" si="232"/>
        <v/>
      </c>
      <c r="BD125" s="49" t="str">
        <f t="shared" si="233"/>
        <v/>
      </c>
      <c r="BE125" s="49" t="str">
        <f t="shared" si="234"/>
        <v/>
      </c>
      <c r="BF125" s="49" t="str">
        <f t="shared" si="235"/>
        <v/>
      </c>
      <c r="BG125" s="49" t="str">
        <f t="shared" si="236"/>
        <v/>
      </c>
      <c r="BH125" s="49" t="str">
        <f t="shared" si="237"/>
        <v/>
      </c>
      <c r="BI125" s="49" t="str">
        <f t="shared" si="238"/>
        <v/>
      </c>
      <c r="BJ125" s="49" t="str">
        <f t="shared" si="239"/>
        <v/>
      </c>
      <c r="BK125" s="49" t="str">
        <f t="shared" si="240"/>
        <v/>
      </c>
      <c r="BL125" s="49" t="str">
        <f t="shared" si="241"/>
        <v/>
      </c>
      <c r="BM125" s="49" t="str">
        <f t="shared" si="242"/>
        <v/>
      </c>
      <c r="BN125" s="49" t="str">
        <f t="shared" si="243"/>
        <v/>
      </c>
      <c r="BO125" s="49" t="str">
        <f t="shared" si="244"/>
        <v/>
      </c>
      <c r="BP125" s="49" t="str">
        <f t="shared" si="245"/>
        <v/>
      </c>
      <c r="BQ125" s="49" t="str">
        <f t="shared" si="246"/>
        <v/>
      </c>
      <c r="BR125" s="49" t="str">
        <f t="shared" si="247"/>
        <v/>
      </c>
      <c r="BS125" s="49" t="str">
        <f t="shared" si="248"/>
        <v/>
      </c>
      <c r="BT125" s="49" t="str">
        <f t="shared" si="249"/>
        <v/>
      </c>
      <c r="BU125" s="49" t="str">
        <f t="shared" si="250"/>
        <v/>
      </c>
      <c r="BV125" s="49" t="str">
        <f t="shared" si="251"/>
        <v/>
      </c>
      <c r="BW125" s="49" t="str">
        <f t="shared" si="252"/>
        <v/>
      </c>
      <c r="BX125" s="49" t="str">
        <f t="shared" si="253"/>
        <v/>
      </c>
      <c r="BY125" s="49" t="str">
        <f t="shared" si="254"/>
        <v/>
      </c>
      <c r="BZ125" s="49" t="str">
        <f t="shared" si="255"/>
        <v/>
      </c>
      <c r="CA125" s="49" t="str">
        <f t="shared" si="256"/>
        <v/>
      </c>
      <c r="CB125" s="49" t="str">
        <f t="shared" si="257"/>
        <v/>
      </c>
      <c r="CC125" s="49" t="str">
        <f t="shared" si="258"/>
        <v/>
      </c>
      <c r="CD125" s="49" t="str">
        <f t="shared" si="259"/>
        <v/>
      </c>
      <c r="CE125" s="49" t="str">
        <f t="shared" si="260"/>
        <v/>
      </c>
      <c r="CF125" s="49" t="str">
        <f t="shared" si="261"/>
        <v/>
      </c>
      <c r="CG125" s="49" t="str">
        <f t="shared" si="262"/>
        <v/>
      </c>
      <c r="CH125" s="49" t="str">
        <f t="shared" si="263"/>
        <v/>
      </c>
      <c r="CI125" s="49" t="str">
        <f t="shared" si="264"/>
        <v/>
      </c>
      <c r="CJ125" s="49" t="str">
        <f t="shared" si="265"/>
        <v/>
      </c>
      <c r="CK125" s="49" t="str">
        <f t="shared" si="266"/>
        <v/>
      </c>
      <c r="CL125" s="49" t="str">
        <f t="shared" si="267"/>
        <v/>
      </c>
      <c r="CM125" s="49" t="str">
        <f t="shared" si="268"/>
        <v/>
      </c>
      <c r="CN125" s="49" t="str">
        <f t="shared" si="269"/>
        <v/>
      </c>
      <c r="CO125" s="49" t="str">
        <f t="shared" si="270"/>
        <v/>
      </c>
      <c r="CP125" s="49" t="str">
        <f t="shared" si="271"/>
        <v/>
      </c>
      <c r="CQ125" s="49" t="str">
        <f t="shared" si="272"/>
        <v/>
      </c>
      <c r="CR125" s="49" t="str">
        <f t="shared" si="273"/>
        <v/>
      </c>
      <c r="CS125" s="49" t="str">
        <f t="shared" si="274"/>
        <v/>
      </c>
      <c r="CT125" s="49" t="str">
        <f t="shared" si="275"/>
        <v/>
      </c>
      <c r="CU125" s="49" t="str">
        <f t="shared" si="276"/>
        <v/>
      </c>
      <c r="CV125" s="49" t="str">
        <f t="shared" si="277"/>
        <v/>
      </c>
      <c r="CW125" s="49" t="str">
        <f t="shared" si="278"/>
        <v/>
      </c>
      <c r="CX125" s="49" t="str">
        <f t="shared" si="279"/>
        <v/>
      </c>
      <c r="CY125" s="49" t="str">
        <f t="shared" si="280"/>
        <v/>
      </c>
      <c r="CZ125" s="49" t="str">
        <f t="shared" si="281"/>
        <v/>
      </c>
      <c r="DA125" s="49" t="str">
        <f t="shared" si="282"/>
        <v/>
      </c>
      <c r="DB125" s="49" t="str">
        <f t="shared" si="283"/>
        <v/>
      </c>
      <c r="DC125" s="49" t="str">
        <f t="shared" si="284"/>
        <v/>
      </c>
      <c r="DD125" s="49" t="str">
        <f t="shared" si="285"/>
        <v/>
      </c>
      <c r="DE125" s="49" t="str">
        <f t="shared" si="286"/>
        <v/>
      </c>
      <c r="DF125" s="49" t="str">
        <f t="shared" si="287"/>
        <v/>
      </c>
      <c r="DG125" s="49" t="str">
        <f t="shared" si="288"/>
        <v/>
      </c>
      <c r="DH125" s="49" t="str">
        <f t="shared" si="289"/>
        <v/>
      </c>
      <c r="DI125" s="49" t="str">
        <f t="shared" si="290"/>
        <v/>
      </c>
      <c r="DJ125" s="49" t="str">
        <f t="shared" si="291"/>
        <v/>
      </c>
      <c r="DK125" s="49" t="str">
        <f t="shared" si="292"/>
        <v/>
      </c>
      <c r="DL125" s="49" t="str">
        <f t="shared" si="293"/>
        <v/>
      </c>
      <c r="DM125" s="49" t="str">
        <f t="shared" si="294"/>
        <v/>
      </c>
      <c r="DN125" s="49" t="str">
        <f t="shared" si="295"/>
        <v/>
      </c>
      <c r="DO125" s="49" t="str">
        <f t="shared" si="296"/>
        <v/>
      </c>
      <c r="DP125" s="49" t="str">
        <f t="shared" si="297"/>
        <v/>
      </c>
      <c r="DQ125" s="49" t="str">
        <f t="shared" si="298"/>
        <v/>
      </c>
      <c r="DR125" s="49" t="str">
        <f t="shared" si="299"/>
        <v/>
      </c>
      <c r="DS125" s="49" t="str">
        <f t="shared" si="300"/>
        <v/>
      </c>
      <c r="DT125" s="49" t="str">
        <f t="shared" si="301"/>
        <v/>
      </c>
      <c r="DU125" s="49" t="str">
        <f t="shared" si="302"/>
        <v/>
      </c>
      <c r="DV125" s="49" t="str">
        <f t="shared" si="303"/>
        <v/>
      </c>
      <c r="DW125" s="49" t="str">
        <f t="shared" si="304"/>
        <v/>
      </c>
      <c r="DX125" s="49" t="str">
        <f t="shared" si="305"/>
        <v/>
      </c>
      <c r="DY125" s="49" t="str">
        <f t="shared" si="306"/>
        <v/>
      </c>
      <c r="DZ125" s="49" t="str">
        <f t="shared" si="307"/>
        <v/>
      </c>
      <c r="EA125" s="49" t="str">
        <f t="shared" si="308"/>
        <v/>
      </c>
      <c r="EB125" s="49" t="str">
        <f t="shared" si="309"/>
        <v/>
      </c>
      <c r="EC125" s="49" t="str">
        <f t="shared" si="310"/>
        <v/>
      </c>
      <c r="ED125" s="49" t="str">
        <f t="shared" si="311"/>
        <v/>
      </c>
      <c r="EE125" s="49" t="str">
        <f t="shared" si="312"/>
        <v/>
      </c>
      <c r="EF125" s="49" t="str">
        <f t="shared" si="313"/>
        <v/>
      </c>
      <c r="EG125" s="49" t="str">
        <f t="shared" si="314"/>
        <v/>
      </c>
      <c r="EH125" s="49" t="str">
        <f t="shared" si="315"/>
        <v/>
      </c>
      <c r="EI125" s="49" t="str">
        <f t="shared" si="316"/>
        <v/>
      </c>
      <c r="EJ125" s="49" t="str">
        <f t="shared" si="317"/>
        <v/>
      </c>
      <c r="EK125" s="49" t="str">
        <f t="shared" si="318"/>
        <v/>
      </c>
      <c r="EL125" s="49" t="str">
        <f t="shared" si="319"/>
        <v/>
      </c>
    </row>
    <row r="126" spans="2:142" x14ac:dyDescent="0.25">
      <c r="B126" s="10"/>
      <c r="C126" s="45" t="s">
        <v>412</v>
      </c>
      <c r="D126" s="46">
        <f>SUM(D92:D125)</f>
        <v>0.12324599999999998</v>
      </c>
      <c r="E126" s="46">
        <f>SUM(E92:E125)</f>
        <v>1.0000000000000002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Parámetros CPI Food</vt:lpstr>
      <vt:lpstr>Diccionario ODEPA - INE</vt:lpstr>
      <vt:lpstr>ODEPA - CPI Food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Nipc10</dc:creator>
  <cp:keywords/>
  <dc:description/>
  <cp:lastModifiedBy>Cristobal</cp:lastModifiedBy>
  <cp:revision/>
  <dcterms:created xsi:type="dcterms:W3CDTF">2010-02-06T00:44:27Z</dcterms:created>
  <dcterms:modified xsi:type="dcterms:W3CDTF">2018-04-30T21:08:06Z</dcterms:modified>
  <cp:category/>
  <dc:identifier/>
  <cp:contentStatus/>
  <dc:language/>
  <cp:version/>
</cp:coreProperties>
</file>